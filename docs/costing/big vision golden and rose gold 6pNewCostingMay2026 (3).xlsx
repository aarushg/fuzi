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FED1EF3A-EC1E-44A1-B54D-AB1328275E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E16" i="4"/>
  <c r="I19" i="4"/>
  <c r="M42" i="4" l="1"/>
  <c r="M41" i="4"/>
  <c r="K42" i="4"/>
  <c r="K41" i="4"/>
  <c r="H49" i="4" l="1"/>
  <c r="I49" i="4" s="1"/>
  <c r="I48" i="4"/>
  <c r="O48" i="4" s="1"/>
  <c r="Q48" i="4" s="1"/>
  <c r="E48" i="4"/>
  <c r="P48" i="4" s="1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O43" i="4"/>
  <c r="Q43" i="4" s="1"/>
  <c r="R43" i="4" s="1"/>
  <c r="J43" i="4"/>
  <c r="L43" i="4" s="1"/>
  <c r="N43" i="4" s="1"/>
  <c r="I43" i="4"/>
  <c r="H43" i="4"/>
  <c r="Q42" i="4"/>
  <c r="O42" i="4"/>
  <c r="I42" i="4"/>
  <c r="E42" i="4"/>
  <c r="N42" i="4" s="1"/>
  <c r="Q41" i="4"/>
  <c r="R41" i="4" s="1"/>
  <c r="O41" i="4"/>
  <c r="P41" i="4" s="1"/>
  <c r="N41" i="4"/>
  <c r="L41" i="4"/>
  <c r="J41" i="4"/>
  <c r="H41" i="4"/>
  <c r="G40" i="4"/>
  <c r="O40" i="4" s="1"/>
  <c r="P40" i="4" s="1"/>
  <c r="O39" i="4"/>
  <c r="P39" i="4" s="1"/>
  <c r="G39" i="4"/>
  <c r="Q39" i="4" s="1"/>
  <c r="R39" i="4" s="1"/>
  <c r="G38" i="4"/>
  <c r="O38" i="4" s="1"/>
  <c r="P38" i="4" s="1"/>
  <c r="O37" i="4"/>
  <c r="P37" i="4" s="1"/>
  <c r="I37" i="4"/>
  <c r="J37" i="4" s="1"/>
  <c r="L37" i="4" s="1"/>
  <c r="N37" i="4" s="1"/>
  <c r="G37" i="4"/>
  <c r="H37" i="4" s="1"/>
  <c r="G36" i="4"/>
  <c r="Q36" i="4" s="1"/>
  <c r="R36" i="4" s="1"/>
  <c r="N35" i="4"/>
  <c r="G35" i="4"/>
  <c r="I35" i="4" s="1"/>
  <c r="D34" i="4"/>
  <c r="G34" i="4" s="1"/>
  <c r="H34" i="4" s="1"/>
  <c r="I34" i="4" s="1"/>
  <c r="J34" i="4" s="1"/>
  <c r="O32" i="4"/>
  <c r="P32" i="4" s="1"/>
  <c r="Q32" i="4" s="1"/>
  <c r="R32" i="4" s="1"/>
  <c r="H32" i="4"/>
  <c r="I32" i="4" s="1"/>
  <c r="J32" i="4" s="1"/>
  <c r="L32" i="4" s="1"/>
  <c r="N32" i="4" s="1"/>
  <c r="I31" i="4"/>
  <c r="O31" i="4" s="1"/>
  <c r="Q31" i="4" s="1"/>
  <c r="Q30" i="4"/>
  <c r="K29" i="4"/>
  <c r="M29" i="4" s="1"/>
  <c r="I29" i="4"/>
  <c r="I28" i="4"/>
  <c r="J28" i="4" s="1"/>
  <c r="H28" i="4"/>
  <c r="P27" i="4"/>
  <c r="Q27" i="4" s="1"/>
  <c r="R27" i="4" s="1"/>
  <c r="O27" i="4"/>
  <c r="G27" i="4"/>
  <c r="H27" i="4" s="1"/>
  <c r="I27" i="4" s="1"/>
  <c r="G26" i="4"/>
  <c r="O26" i="4" s="1"/>
  <c r="P26" i="4" s="1"/>
  <c r="O25" i="4"/>
  <c r="P25" i="4" s="1"/>
  <c r="I25" i="4"/>
  <c r="J25" i="4" s="1"/>
  <c r="L25" i="4" s="1"/>
  <c r="N25" i="4" s="1"/>
  <c r="H25" i="4"/>
  <c r="G25" i="4"/>
  <c r="Q25" i="4" s="1"/>
  <c r="R25" i="4" s="1"/>
  <c r="O24" i="4"/>
  <c r="Q24" i="4" s="1"/>
  <c r="R24" i="4" s="1"/>
  <c r="N24" i="4"/>
  <c r="L24" i="4"/>
  <c r="H24" i="4"/>
  <c r="G23" i="4"/>
  <c r="I23" i="4" s="1"/>
  <c r="J23" i="4" s="1"/>
  <c r="L23" i="4" s="1"/>
  <c r="N23" i="4" s="1"/>
  <c r="J22" i="4"/>
  <c r="L22" i="4" s="1"/>
  <c r="N22" i="4" s="1"/>
  <c r="I22" i="4"/>
  <c r="O22" i="4" s="1"/>
  <c r="H22" i="4"/>
  <c r="I21" i="4"/>
  <c r="O21" i="4" s="1"/>
  <c r="H21" i="4"/>
  <c r="R20" i="4"/>
  <c r="P20" i="4"/>
  <c r="N20" i="4"/>
  <c r="L20" i="4"/>
  <c r="J20" i="4"/>
  <c r="H20" i="4"/>
  <c r="Q19" i="4"/>
  <c r="R19" i="4" s="1"/>
  <c r="P19" i="4"/>
  <c r="M19" i="4"/>
  <c r="N19" i="4" s="1"/>
  <c r="J19" i="4"/>
  <c r="H19" i="4"/>
  <c r="L19" i="4" s="1"/>
  <c r="O18" i="4"/>
  <c r="Q18" i="4" s="1"/>
  <c r="R18" i="4" s="1"/>
  <c r="M17" i="4"/>
  <c r="K17" i="4"/>
  <c r="I17" i="4"/>
  <c r="J17" i="4" s="1"/>
  <c r="L17" i="4" s="1"/>
  <c r="N17" i="4" s="1"/>
  <c r="H17" i="4"/>
  <c r="Q16" i="4"/>
  <c r="R16" i="4" s="1"/>
  <c r="M16" i="4"/>
  <c r="I16" i="4"/>
  <c r="H16" i="4"/>
  <c r="G16" i="4"/>
  <c r="O16" i="4" s="1"/>
  <c r="P16" i="4" s="1"/>
  <c r="R14" i="4"/>
  <c r="D38" i="4" s="1"/>
  <c r="K11" i="4"/>
  <c r="K12" i="4" s="1"/>
  <c r="K10" i="4"/>
  <c r="J10" i="4"/>
  <c r="J9" i="4"/>
  <c r="J8" i="4"/>
  <c r="J7" i="4"/>
  <c r="J6" i="4"/>
  <c r="J5" i="4"/>
  <c r="J4" i="4"/>
  <c r="J3" i="4"/>
  <c r="J2" i="4"/>
  <c r="L42" i="4" l="1"/>
  <c r="R42" i="4"/>
  <c r="H36" i="4"/>
  <c r="P24" i="4"/>
  <c r="I36" i="4"/>
  <c r="J36" i="4" s="1"/>
  <c r="L36" i="4" s="1"/>
  <c r="N36" i="4" s="1"/>
  <c r="O36" i="4"/>
  <c r="P36" i="4" s="1"/>
  <c r="H23" i="4"/>
  <c r="P43" i="4"/>
  <c r="P42" i="4"/>
  <c r="H39" i="4"/>
  <c r="H42" i="4"/>
  <c r="R48" i="4"/>
  <c r="I39" i="4"/>
  <c r="J39" i="4" s="1"/>
  <c r="L39" i="4" s="1"/>
  <c r="N39" i="4" s="1"/>
  <c r="J42" i="4"/>
  <c r="J27" i="4"/>
  <c r="L27" i="4" s="1"/>
  <c r="M27" i="4"/>
  <c r="N27" i="4" s="1"/>
  <c r="J35" i="4"/>
  <c r="O35" i="4"/>
  <c r="J49" i="4"/>
  <c r="K49" i="4"/>
  <c r="L49" i="4" s="1"/>
  <c r="M49" i="4" s="1"/>
  <c r="N49" i="4" s="1"/>
  <c r="O49" i="4" s="1"/>
  <c r="P49" i="4" s="1"/>
  <c r="Q49" i="4" s="1"/>
  <c r="R49" i="4" s="1"/>
  <c r="Q21" i="4"/>
  <c r="R21" i="4" s="1"/>
  <c r="P21" i="4"/>
  <c r="L34" i="4"/>
  <c r="N34" i="4" s="1"/>
  <c r="O34" i="4"/>
  <c r="P34" i="4" s="1"/>
  <c r="Q34" i="4" s="1"/>
  <c r="R34" i="4" s="1"/>
  <c r="O28" i="4"/>
  <c r="P28" i="4" s="1"/>
  <c r="Q28" i="4" s="1"/>
  <c r="R28" i="4" s="1"/>
  <c r="L28" i="4"/>
  <c r="N28" i="4" s="1"/>
  <c r="Q22" i="4"/>
  <c r="R22" i="4" s="1"/>
  <c r="P22" i="4"/>
  <c r="J16" i="4"/>
  <c r="P18" i="4"/>
  <c r="J21" i="4"/>
  <c r="L21" i="4" s="1"/>
  <c r="N21" i="4" s="1"/>
  <c r="H26" i="4"/>
  <c r="D37" i="4"/>
  <c r="Q38" i="4"/>
  <c r="R38" i="4" s="1"/>
  <c r="Q40" i="4"/>
  <c r="R40" i="4" s="1"/>
  <c r="H44" i="4"/>
  <c r="J48" i="4"/>
  <c r="K16" i="4"/>
  <c r="L16" i="4" s="1"/>
  <c r="E17" i="4"/>
  <c r="K19" i="4"/>
  <c r="I26" i="4"/>
  <c r="J26" i="4" s="1"/>
  <c r="M26" i="4"/>
  <c r="N26" i="4" s="1"/>
  <c r="Q26" i="4"/>
  <c r="R26" i="4" s="1"/>
  <c r="E30" i="4"/>
  <c r="R30" i="4" s="1"/>
  <c r="E31" i="4"/>
  <c r="K31" i="4"/>
  <c r="H35" i="4"/>
  <c r="D36" i="4"/>
  <c r="Q37" i="4"/>
  <c r="R37" i="4" s="1"/>
  <c r="H38" i="4"/>
  <c r="H40" i="4"/>
  <c r="I44" i="4"/>
  <c r="J44" i="4" s="1"/>
  <c r="Q44" i="4"/>
  <c r="R44" i="4" s="1"/>
  <c r="O45" i="4"/>
  <c r="K48" i="4"/>
  <c r="I38" i="4"/>
  <c r="J38" i="4" s="1"/>
  <c r="L38" i="4" s="1"/>
  <c r="N38" i="4" s="1"/>
  <c r="I40" i="4"/>
  <c r="J40" i="4" s="1"/>
  <c r="L40" i="4" s="1"/>
  <c r="N40" i="4" s="1"/>
  <c r="H48" i="4"/>
  <c r="K26" i="4"/>
  <c r="L26" i="4" s="1"/>
  <c r="E29" i="4"/>
  <c r="L29" i="4" s="1"/>
  <c r="Q35" i="4" l="1"/>
  <c r="R35" i="4" s="1"/>
  <c r="P35" i="4"/>
  <c r="J30" i="4"/>
  <c r="E33" i="4"/>
  <c r="G33" i="4" s="1"/>
  <c r="H33" i="4" s="1"/>
  <c r="I33" i="4" s="1"/>
  <c r="J33" i="4" s="1"/>
  <c r="P30" i="4"/>
  <c r="H30" i="4"/>
  <c r="N30" i="4"/>
  <c r="L30" i="4"/>
  <c r="Q45" i="4"/>
  <c r="R45" i="4" s="1"/>
  <c r="P45" i="4"/>
  <c r="M31" i="4"/>
  <c r="N31" i="4" s="1"/>
  <c r="L31" i="4"/>
  <c r="N16" i="4"/>
  <c r="P31" i="4"/>
  <c r="H31" i="4"/>
  <c r="R31" i="4"/>
  <c r="J31" i="4"/>
  <c r="P29" i="4"/>
  <c r="N29" i="4"/>
  <c r="J29" i="4"/>
  <c r="R29" i="4"/>
  <c r="H29" i="4"/>
  <c r="M48" i="4"/>
  <c r="N48" i="4" s="1"/>
  <c r="L48" i="4"/>
  <c r="E18" i="4"/>
  <c r="R17" i="4"/>
  <c r="P17" i="4"/>
  <c r="H47" i="4" l="1"/>
  <c r="N18" i="4"/>
  <c r="L18" i="4"/>
  <c r="J18" i="4"/>
  <c r="J47" i="4" s="1"/>
  <c r="L33" i="4"/>
  <c r="N33" i="4" s="1"/>
  <c r="O33" i="4"/>
  <c r="P33" i="4" s="1"/>
  <c r="Q33" i="4" s="1"/>
  <c r="R33" i="4" s="1"/>
  <c r="R47" i="4" s="1"/>
  <c r="L47" i="4" l="1"/>
  <c r="K50" i="4" s="1"/>
  <c r="L50" i="4" s="1"/>
  <c r="L51" i="4" s="1"/>
  <c r="L53" i="4" s="1"/>
  <c r="N47" i="4"/>
  <c r="M50" i="4" s="1"/>
  <c r="N50" i="4" s="1"/>
  <c r="N51" i="4" s="1"/>
  <c r="N53" i="4" s="1"/>
  <c r="I50" i="4"/>
  <c r="J50" i="4" s="1"/>
  <c r="J51" i="4" s="1"/>
  <c r="J53" i="4" s="1"/>
  <c r="G50" i="4"/>
  <c r="H50" i="4" s="1"/>
  <c r="H51" i="4" s="1"/>
  <c r="H53" i="4" s="1"/>
  <c r="Q50" i="4"/>
  <c r="R50" i="4" s="1"/>
  <c r="R51" i="4" s="1"/>
  <c r="R53" i="4" s="1"/>
  <c r="P47" i="4"/>
  <c r="O50" i="4" l="1"/>
  <c r="P50" i="4" s="1"/>
  <c r="P51" i="4" s="1"/>
  <c r="P53" i="4" s="1"/>
</calcChain>
</file>

<file path=xl/sharedStrings.xml><?xml version="1.0" encoding="utf-8"?>
<sst xmlns="http://schemas.openxmlformats.org/spreadsheetml/2006/main" count="176" uniqueCount="129">
  <si>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</si>
  <si>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</si>
  <si>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</si>
  <si>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</si>
  <si>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</si>
  <si>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</si>
  <si>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</si>
  <si>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</si>
  <si>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</si>
  <si>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</si>
  <si>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</si>
  <si>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</si>
  <si>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</si>
  <si>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</si>
  <si>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</si>
  <si>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</si>
  <si>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</si>
  <si>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</si>
  <si>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</si>
  <si>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</si>
  <si>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</si>
  <si>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</si>
  <si>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</si>
  <si>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</si>
  <si>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</si>
  <si>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</si>
  <si>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</si>
  <si>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</si>
  <si>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</si>
  <si>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</si>
  <si>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</si>
  <si>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</si>
  <si>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</si>
  <si>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</si>
  <si>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</si>
  <si>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</si>
  <si>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</si>
  <si>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</si>
  <si>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</si>
  <si>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</si>
  <si>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</si>
  <si>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</si>
  <si>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</si>
  <si>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</si>
  <si>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</si>
  <si>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</si>
  <si>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</si>
  <si>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</si>
  <si>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</si>
  <si>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</si>
  <si>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</si>
  <si>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</si>
  <si>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</si>
  <si>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</si>
  <si>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</si>
  <si>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</si>
  <si>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</si>
  <si>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</si>
  <si>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</si>
  <si>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</si>
  <si>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</si>
  <si>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</si>
  <si>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</si>
  <si>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</si>
  <si>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</si>
  <si>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</si>
  <si>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</si>
  <si>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</si>
  <si>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</si>
  <si>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</si>
  <si>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</si>
  <si>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</si>
  <si>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</si>
  <si>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</si>
  <si>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5hp openloop</t>
  </si>
  <si>
    <t>5hp closeloop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</si>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</sst>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A25" zoomScale="81" zoomScaleNormal="110" workbookViewId="0">
      <selection activeCell="T59" sqref="T59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90</v>
      </c>
      <c r="J1" s="3" t="s">
        <v>102</v>
      </c>
      <c r="K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">
      <c r="B2" t="s">
        <v>94</v>
      </c>
      <c r="E2" s="4" t="s">
        <v>26</v>
      </c>
      <c r="G2" s="4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">
      <c r="B3" t="s">
        <v>90</v>
      </c>
      <c r="E3" s="4" t="s">
        <v>26</v>
      </c>
      <c r="G3" s="5">
        <v>2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4000</v>
      </c>
      <c r="T3" s="6">
        <v>3</v>
      </c>
      <c r="U3" s="3" t="s">
        <v>57</v>
      </c>
      <c r="V3" s="6">
        <v>5</v>
      </c>
    </row>
    <row r="4" spans="1:24" x14ac:dyDescent="0.3">
      <c r="B4" t="s">
        <v>95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0</v>
      </c>
      <c r="T4" s="6">
        <v>3</v>
      </c>
      <c r="U4" s="3" t="s">
        <v>58</v>
      </c>
      <c r="V4" s="6">
        <v>6</v>
      </c>
    </row>
    <row r="5" spans="1:24" x14ac:dyDescent="0.3">
      <c r="B5" t="s">
        <v>96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0</v>
      </c>
      <c r="T5" s="6">
        <v>4</v>
      </c>
      <c r="U5" s="3" t="s">
        <v>59</v>
      </c>
      <c r="V5" s="6">
        <v>7</v>
      </c>
    </row>
    <row r="6" spans="1:24" x14ac:dyDescent="0.3">
      <c r="B6" t="s">
        <v>97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">
      <c r="B7" t="s">
        <v>98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">
      <c r="B8" t="s">
        <v>99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x14ac:dyDescent="0.3">
      <c r="B9" t="s">
        <v>100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x14ac:dyDescent="0.3">
      <c r="B10" t="s">
        <v>101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35">
      <c r="K13" s="7"/>
      <c r="Q13" s="2" t="s">
        <v>54</v>
      </c>
      <c r="R13" s="2">
        <v>4800</v>
      </c>
      <c r="V13" s="4"/>
    </row>
    <row r="14" spans="1:24" ht="15" thickBot="1" x14ac:dyDescent="0.35">
      <c r="K14" s="21" t="s">
        <v>123</v>
      </c>
      <c r="L14" s="22"/>
      <c r="M14" s="21" t="s">
        <v>123</v>
      </c>
      <c r="N14" s="23"/>
      <c r="Q14" s="2" t="s">
        <v>55</v>
      </c>
      <c r="R14" s="2">
        <f>SUM(R1:R13)</f>
        <v>10400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4" t="s">
        <v>11</v>
      </c>
      <c r="H15" s="24"/>
      <c r="I15" s="24" t="s">
        <v>12</v>
      </c>
      <c r="J15" s="24"/>
      <c r="K15" s="24" t="s">
        <v>13</v>
      </c>
      <c r="L15" s="24"/>
      <c r="M15" s="24" t="s">
        <v>14</v>
      </c>
      <c r="N15" s="24"/>
      <c r="O15" s="24" t="s">
        <v>15</v>
      </c>
      <c r="P15" s="24"/>
      <c r="Q15" s="26" t="s">
        <v>16</v>
      </c>
      <c r="R15" s="26"/>
      <c r="V15" s="9"/>
      <c r="W15" s="24"/>
      <c r="X15" s="24"/>
    </row>
    <row r="16" spans="1:24" x14ac:dyDescent="0.3">
      <c r="A16" s="4">
        <v>1</v>
      </c>
      <c r="B16" t="s">
        <v>103</v>
      </c>
      <c r="C16" t="s">
        <v>121</v>
      </c>
      <c r="D16" t="s">
        <v>40</v>
      </c>
      <c r="E16" s="12">
        <f>(R14/5000)*2</f>
        <v>4.16</v>
      </c>
      <c r="F16" s="12">
        <v>5</v>
      </c>
      <c r="G16" s="13">
        <f>4800+200</f>
        <v>5000</v>
      </c>
      <c r="H16" s="15">
        <f>G16*F16</f>
        <v>25000</v>
      </c>
      <c r="I16">
        <f>G16</f>
        <v>5000</v>
      </c>
      <c r="J16" s="15">
        <f>F16*G16</f>
        <v>25000</v>
      </c>
      <c r="K16">
        <f>G16</f>
        <v>5000</v>
      </c>
      <c r="L16" s="15">
        <f>K16*F16</f>
        <v>25000</v>
      </c>
      <c r="M16">
        <f>G16</f>
        <v>5000</v>
      </c>
      <c r="N16" s="15">
        <f>L16</f>
        <v>25000</v>
      </c>
      <c r="O16">
        <f>G16</f>
        <v>5000</v>
      </c>
      <c r="P16" s="15">
        <f>F16*O16</f>
        <v>25000</v>
      </c>
      <c r="Q16" s="13">
        <f>G16</f>
        <v>5000</v>
      </c>
      <c r="R16" s="14">
        <f>F16*Q16</f>
        <v>25000</v>
      </c>
      <c r="V16" s="4"/>
    </row>
    <row r="17" spans="1:24" x14ac:dyDescent="0.3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6.75</v>
      </c>
      <c r="F17" s="5">
        <v>7</v>
      </c>
      <c r="G17" s="18">
        <v>950</v>
      </c>
      <c r="H17" s="15">
        <f>G17*F17</f>
        <v>6650</v>
      </c>
      <c r="I17">
        <f>G17</f>
        <v>950</v>
      </c>
      <c r="J17" s="15">
        <f>I17*F17</f>
        <v>6650</v>
      </c>
      <c r="K17">
        <f>1800*G3</f>
        <v>3600</v>
      </c>
      <c r="L17" s="15">
        <f>J17</f>
        <v>6650</v>
      </c>
      <c r="M17">
        <f>1800*G3</f>
        <v>3600</v>
      </c>
      <c r="N17" s="15">
        <f>L17</f>
        <v>6650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x14ac:dyDescent="0.3">
      <c r="A18" s="4"/>
      <c r="B18" t="s">
        <v>67</v>
      </c>
      <c r="C18" t="s">
        <v>68</v>
      </c>
      <c r="D18" t="s">
        <v>69</v>
      </c>
      <c r="E18" s="12">
        <f>E17</f>
        <v>6.75</v>
      </c>
      <c r="F18" s="5">
        <v>7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9450</v>
      </c>
      <c r="Q18" s="13">
        <f>O18</f>
        <v>1350</v>
      </c>
      <c r="R18" s="14">
        <f>Q18*F18</f>
        <v>9450</v>
      </c>
      <c r="T18" t="s">
        <v>70</v>
      </c>
      <c r="V18" s="4"/>
    </row>
    <row r="19" spans="1:24" x14ac:dyDescent="0.3">
      <c r="A19" s="4">
        <v>3</v>
      </c>
      <c r="B19" t="s">
        <v>104</v>
      </c>
      <c r="C19" t="s">
        <v>71</v>
      </c>
      <c r="E19" s="4">
        <v>1</v>
      </c>
      <c r="G19">
        <v>45000</v>
      </c>
      <c r="H19">
        <f t="shared" ref="H19:H46" si="0">G19*E19</f>
        <v>45000</v>
      </c>
      <c r="I19">
        <f>75000+10000</f>
        <v>85000</v>
      </c>
      <c r="J19">
        <f>E19*I19</f>
        <v>85000</v>
      </c>
      <c r="K19">
        <f>H19</f>
        <v>45000</v>
      </c>
      <c r="L19">
        <f>H19</f>
        <v>45000</v>
      </c>
      <c r="M19">
        <f>I19</f>
        <v>85000</v>
      </c>
      <c r="N19">
        <f>E19*M19</f>
        <v>85000</v>
      </c>
      <c r="O19">
        <v>45000</v>
      </c>
      <c r="P19">
        <f>E19*O19</f>
        <v>45000</v>
      </c>
      <c r="Q19" s="13">
        <f>I19</f>
        <v>85000</v>
      </c>
      <c r="R19" s="13">
        <f>E19*Q19</f>
        <v>85000</v>
      </c>
      <c r="S19" t="s">
        <v>26</v>
      </c>
      <c r="V19" s="4"/>
    </row>
    <row r="20" spans="1:24" x14ac:dyDescent="0.3">
      <c r="A20" s="4" t="s">
        <v>26</v>
      </c>
      <c r="B20" t="s">
        <v>105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86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">
      <c r="A22" s="4"/>
      <c r="B22" t="s">
        <v>124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106</v>
      </c>
      <c r="D23" t="s">
        <v>74</v>
      </c>
      <c r="E23" s="4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5" t="s">
        <v>91</v>
      </c>
      <c r="U23" s="25"/>
      <c r="V23" s="25"/>
      <c r="W23" s="25"/>
      <c r="X23" s="25"/>
    </row>
    <row r="24" spans="1:24" x14ac:dyDescent="0.3">
      <c r="A24" s="4">
        <v>4</v>
      </c>
      <c r="B24" t="s">
        <v>107</v>
      </c>
      <c r="D24" t="s">
        <v>75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5" t="s">
        <v>91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17000</v>
      </c>
      <c r="H26">
        <f t="shared" si="0"/>
        <v>17000</v>
      </c>
      <c r="I26">
        <f>G26</f>
        <v>17000</v>
      </c>
      <c r="J26">
        <f>E26*I26</f>
        <v>17000</v>
      </c>
      <c r="K26">
        <f>G26</f>
        <v>17000</v>
      </c>
      <c r="L26">
        <f>K26*E26</f>
        <v>17000</v>
      </c>
      <c r="M26">
        <f>G26</f>
        <v>17000</v>
      </c>
      <c r="N26">
        <f>E26*M26</f>
        <v>17000</v>
      </c>
      <c r="O26">
        <f>G26</f>
        <v>17000</v>
      </c>
      <c r="P26">
        <f>E26*O26</f>
        <v>17000</v>
      </c>
      <c r="Q26" s="13">
        <f>G26</f>
        <v>17000</v>
      </c>
      <c r="R26" s="13">
        <f>E26*Q26</f>
        <v>17000</v>
      </c>
    </row>
    <row r="27" spans="1:24" x14ac:dyDescent="0.3">
      <c r="A27" s="4">
        <v>16</v>
      </c>
      <c r="B27" t="s">
        <v>108</v>
      </c>
      <c r="D27" t="s">
        <v>38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">
      <c r="A29" s="4">
        <v>6</v>
      </c>
      <c r="B29" t="s">
        <v>109</v>
      </c>
      <c r="C29" t="s">
        <v>76</v>
      </c>
      <c r="D29" t="s">
        <v>77</v>
      </c>
      <c r="E29" s="10">
        <f>((R14/1000)+2)*3</f>
        <v>37.200000000000003</v>
      </c>
      <c r="F29" s="11"/>
      <c r="G29" s="13">
        <v>113</v>
      </c>
      <c r="H29" s="15">
        <f>G29*E29</f>
        <v>4203.6000000000004</v>
      </c>
      <c r="I29">
        <f>G29</f>
        <v>113</v>
      </c>
      <c r="J29" s="15">
        <f>E29*I29</f>
        <v>4203.6000000000004</v>
      </c>
      <c r="K29">
        <f>I29</f>
        <v>113</v>
      </c>
      <c r="L29" s="15">
        <f t="shared" ref="L29:L41" si="1">K29*E29</f>
        <v>4203.6000000000004</v>
      </c>
      <c r="M29">
        <f>K29</f>
        <v>113</v>
      </c>
      <c r="N29" s="15">
        <f t="shared" ref="N29:N42" si="2">E29*M29</f>
        <v>4203.6000000000004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109</v>
      </c>
      <c r="C30" t="s">
        <v>78</v>
      </c>
      <c r="D30" t="s">
        <v>77</v>
      </c>
      <c r="E30" s="10">
        <f>(((R14/1000)*2)+2)*4</f>
        <v>91.2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7022.4000000000005</v>
      </c>
      <c r="Q30" s="13">
        <f>O30</f>
        <v>77</v>
      </c>
      <c r="R30" s="14">
        <f>Q30*E30</f>
        <v>7022.4000000000005</v>
      </c>
    </row>
    <row r="31" spans="1:24" x14ac:dyDescent="0.3">
      <c r="A31" s="4">
        <v>7</v>
      </c>
      <c r="B31" t="s">
        <v>110</v>
      </c>
      <c r="C31" t="s">
        <v>79</v>
      </c>
      <c r="D31" t="s">
        <v>87</v>
      </c>
      <c r="E31" s="10">
        <f>((R14+3000+3000)/1000)*4</f>
        <v>65.599999999999994</v>
      </c>
      <c r="F31" s="11"/>
      <c r="G31" s="13">
        <v>128</v>
      </c>
      <c r="H31" s="15">
        <f>G31*E31</f>
        <v>8396.7999999999993</v>
      </c>
      <c r="I31">
        <f>G31</f>
        <v>128</v>
      </c>
      <c r="J31" s="15">
        <f>E31*I31</f>
        <v>8396.7999999999993</v>
      </c>
      <c r="K31">
        <f>I31</f>
        <v>128</v>
      </c>
      <c r="L31" s="15">
        <f t="shared" si="1"/>
        <v>8396.7999999999993</v>
      </c>
      <c r="M31">
        <f>K31</f>
        <v>128</v>
      </c>
      <c r="N31" s="15">
        <f t="shared" si="2"/>
        <v>8396.7999999999993</v>
      </c>
      <c r="O31">
        <f>I31</f>
        <v>128</v>
      </c>
      <c r="P31" s="15">
        <f>E31*O31</f>
        <v>8396.7999999999993</v>
      </c>
      <c r="Q31" s="13">
        <f>O31</f>
        <v>128</v>
      </c>
      <c r="R31" s="14">
        <f>E31*Q31</f>
        <v>8396.7999999999993</v>
      </c>
    </row>
    <row r="32" spans="1:24" x14ac:dyDescent="0.3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">
      <c r="A33" s="4">
        <v>9</v>
      </c>
      <c r="B33" t="s">
        <v>111</v>
      </c>
      <c r="D33" t="s">
        <v>80</v>
      </c>
      <c r="E33" s="4">
        <f>E30/4</f>
        <v>22.8</v>
      </c>
      <c r="G33" s="15">
        <f>(E33*O30)+4000+1000</f>
        <v>6755.6</v>
      </c>
      <c r="H33" s="15">
        <f>G33</f>
        <v>6755.6</v>
      </c>
      <c r="I33" s="15">
        <f>H33</f>
        <v>6755.6</v>
      </c>
      <c r="J33" s="15">
        <f>I33</f>
        <v>6755.6</v>
      </c>
      <c r="K33" s="15" t="s">
        <v>26</v>
      </c>
      <c r="L33" s="15">
        <f>J33</f>
        <v>6755.6</v>
      </c>
      <c r="M33" s="15" t="s">
        <v>26</v>
      </c>
      <c r="N33" s="15">
        <f>L33</f>
        <v>6755.6</v>
      </c>
      <c r="O33" s="15">
        <f>J33</f>
        <v>6755.6</v>
      </c>
      <c r="P33" s="15">
        <f>O33</f>
        <v>6755.6</v>
      </c>
      <c r="Q33" s="14">
        <f>P33</f>
        <v>6755.6</v>
      </c>
      <c r="R33" s="14">
        <f>Q33</f>
        <v>6755.6</v>
      </c>
    </row>
    <row r="34" spans="1:21" x14ac:dyDescent="0.3">
      <c r="A34" s="4">
        <v>10</v>
      </c>
      <c r="B34" t="s">
        <v>112</v>
      </c>
      <c r="D34" s="15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">
      <c r="A35" s="4">
        <v>11</v>
      </c>
      <c r="B35" t="s">
        <v>113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114</v>
      </c>
      <c r="C36" t="s">
        <v>82</v>
      </c>
      <c r="D36" s="20">
        <f>R14/1000+10+10</f>
        <v>30.4</v>
      </c>
      <c r="E36" s="4">
        <v>1</v>
      </c>
      <c r="F36" s="5">
        <v>31</v>
      </c>
      <c r="G36" s="17">
        <f>50+2</f>
        <v>52</v>
      </c>
      <c r="H36" s="15">
        <f>G36*F36</f>
        <v>1612</v>
      </c>
      <c r="I36">
        <f t="shared" si="4"/>
        <v>52</v>
      </c>
      <c r="J36">
        <f>I36*F36</f>
        <v>1612</v>
      </c>
      <c r="K36" t="s">
        <v>26</v>
      </c>
      <c r="L36">
        <f>J36</f>
        <v>1612</v>
      </c>
      <c r="M36">
        <v>10000</v>
      </c>
      <c r="N36">
        <f>L36</f>
        <v>1612</v>
      </c>
      <c r="O36">
        <f t="shared" ref="O36:O44" si="5">G36</f>
        <v>52</v>
      </c>
      <c r="P36">
        <f>O36*F36</f>
        <v>1612</v>
      </c>
      <c r="Q36" s="13">
        <f>G36</f>
        <v>52</v>
      </c>
      <c r="R36" s="13">
        <f>Q36*F36</f>
        <v>1612</v>
      </c>
    </row>
    <row r="37" spans="1:21" ht="16.5" customHeight="1" x14ac:dyDescent="0.3">
      <c r="A37" s="4">
        <v>12</v>
      </c>
      <c r="B37" t="s">
        <v>114</v>
      </c>
      <c r="C37" t="s">
        <v>83</v>
      </c>
      <c r="D37" s="20">
        <f>(R14/1000)+G3*3+13</f>
        <v>29.4</v>
      </c>
      <c r="E37" s="4">
        <v>1</v>
      </c>
      <c r="F37" s="5">
        <v>30</v>
      </c>
      <c r="G37">
        <f>67+2</f>
        <v>69</v>
      </c>
      <c r="H37" s="15">
        <f t="shared" ref="H37:H39" si="6">G37*F37</f>
        <v>2070</v>
      </c>
      <c r="I37">
        <f t="shared" si="4"/>
        <v>69</v>
      </c>
      <c r="J37">
        <f>I37*F37</f>
        <v>2070</v>
      </c>
      <c r="K37" t="s">
        <v>26</v>
      </c>
      <c r="L37">
        <f t="shared" ref="L37:L40" si="7">J37</f>
        <v>2070</v>
      </c>
      <c r="M37">
        <v>10000</v>
      </c>
      <c r="N37">
        <f t="shared" ref="N37:N40" si="8">L37</f>
        <v>2070</v>
      </c>
      <c r="O37">
        <f t="shared" si="5"/>
        <v>69</v>
      </c>
      <c r="P37">
        <f>O37*F37</f>
        <v>2070</v>
      </c>
      <c r="Q37" s="13">
        <f>G37</f>
        <v>69</v>
      </c>
      <c r="R37" s="13">
        <f>Q37*F37</f>
        <v>2070</v>
      </c>
    </row>
    <row r="38" spans="1:21" ht="16.5" customHeight="1" x14ac:dyDescent="0.3">
      <c r="A38" s="4">
        <v>12</v>
      </c>
      <c r="B38" t="s">
        <v>114</v>
      </c>
      <c r="C38" t="s">
        <v>84</v>
      </c>
      <c r="D38" s="20">
        <f>((R14/1000)+5)+G3*2+(R14/1000*8)</f>
        <v>102.6</v>
      </c>
      <c r="E38" s="4">
        <v>1</v>
      </c>
      <c r="F38" s="5">
        <v>103</v>
      </c>
      <c r="G38">
        <f>20+3</f>
        <v>23</v>
      </c>
      <c r="H38" s="15">
        <f t="shared" si="6"/>
        <v>2369</v>
      </c>
      <c r="I38">
        <f t="shared" si="4"/>
        <v>23</v>
      </c>
      <c r="J38" s="15">
        <f>I38*F38</f>
        <v>2369</v>
      </c>
      <c r="K38" t="s">
        <v>26</v>
      </c>
      <c r="L38" s="15">
        <f t="shared" si="7"/>
        <v>2369</v>
      </c>
      <c r="M38" s="15">
        <v>10000</v>
      </c>
      <c r="N38" s="15">
        <f t="shared" si="8"/>
        <v>2369</v>
      </c>
      <c r="O38">
        <f t="shared" si="5"/>
        <v>23</v>
      </c>
      <c r="P38" s="15">
        <f>O38*F38</f>
        <v>2369</v>
      </c>
      <c r="Q38" s="13">
        <f>G38</f>
        <v>23</v>
      </c>
      <c r="R38" s="14">
        <f>Q38*F38</f>
        <v>2369</v>
      </c>
    </row>
    <row r="39" spans="1:21" ht="16.5" customHeight="1" x14ac:dyDescent="0.3">
      <c r="A39" s="4">
        <v>12</v>
      </c>
      <c r="B39" t="s">
        <v>114</v>
      </c>
      <c r="C39" t="s">
        <v>128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114</v>
      </c>
      <c r="C40" t="s">
        <v>127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115</v>
      </c>
      <c r="D41" s="8" t="s">
        <v>126</v>
      </c>
      <c r="E41" s="4">
        <v>1</v>
      </c>
      <c r="F41" s="9"/>
      <c r="G41" s="16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116</v>
      </c>
      <c r="D42" s="8" t="s">
        <v>126</v>
      </c>
      <c r="E42" s="9">
        <f>G3</f>
        <v>2</v>
      </c>
      <c r="F42" s="9"/>
      <c r="G42" s="16">
        <v>17880</v>
      </c>
      <c r="H42" s="8">
        <f t="shared" si="0"/>
        <v>35760</v>
      </c>
      <c r="I42" s="8">
        <f>38191+2000</f>
        <v>40191</v>
      </c>
      <c r="J42" s="8">
        <f>E42*I42</f>
        <v>80382</v>
      </c>
      <c r="K42" s="8">
        <f>7000+3800+1500</f>
        <v>12300</v>
      </c>
      <c r="L42" s="8">
        <f>K42*E42</f>
        <v>24600</v>
      </c>
      <c r="M42" s="8">
        <f>35000+3800+1500</f>
        <v>40300</v>
      </c>
      <c r="N42" s="8">
        <f t="shared" si="2"/>
        <v>80600</v>
      </c>
      <c r="O42" s="8">
        <f t="shared" si="5"/>
        <v>17880</v>
      </c>
      <c r="P42" s="8">
        <f>E42*O42</f>
        <v>35760</v>
      </c>
      <c r="Q42" s="1">
        <f>I42</f>
        <v>40191</v>
      </c>
      <c r="R42" s="1">
        <f>E42*Q42</f>
        <v>80382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">
      <c r="A44" s="4">
        <v>18</v>
      </c>
      <c r="B44" t="s">
        <v>117</v>
      </c>
      <c r="C44">
        <f>1500+1500+1000+1000</f>
        <v>5000</v>
      </c>
      <c r="D44" t="s">
        <v>122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118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420079.5</v>
      </c>
      <c r="J47" s="15">
        <f>SUM(J16:J46)</f>
        <v>518472.49999999994</v>
      </c>
      <c r="L47" s="15">
        <f>SUM(L16:L46)</f>
        <v>369674.5</v>
      </c>
      <c r="N47" s="15">
        <f>SUM(N16:N46)</f>
        <v>483674.49999999994</v>
      </c>
      <c r="P47" s="15">
        <f>SUM(P16:P46)</f>
        <v>479798.3</v>
      </c>
      <c r="R47" s="14">
        <f>SUM(R16:R46)</f>
        <v>578191.30000000005</v>
      </c>
    </row>
    <row r="48" spans="1:21" x14ac:dyDescent="0.3">
      <c r="A48" s="4">
        <v>20</v>
      </c>
      <c r="B48" t="s">
        <v>88</v>
      </c>
      <c r="D48" t="s">
        <v>89</v>
      </c>
      <c r="E48" s="4">
        <f>G3</f>
        <v>2</v>
      </c>
      <c r="G48" s="13">
        <v>12000</v>
      </c>
      <c r="H48">
        <f>G48*E48</f>
        <v>24000</v>
      </c>
      <c r="I48" s="8">
        <f>G48</f>
        <v>12000</v>
      </c>
      <c r="J48">
        <f>E48*I48</f>
        <v>24000</v>
      </c>
      <c r="K48">
        <f>I48</f>
        <v>12000</v>
      </c>
      <c r="L48">
        <f>K48*E48</f>
        <v>24000</v>
      </c>
      <c r="M48">
        <f>K48</f>
        <v>12000</v>
      </c>
      <c r="N48">
        <f>E48*M48</f>
        <v>24000</v>
      </c>
      <c r="O48">
        <f>I48</f>
        <v>12000</v>
      </c>
      <c r="P48">
        <f>E48*O48</f>
        <v>24000</v>
      </c>
      <c r="Q48" s="13">
        <f>O48</f>
        <v>12000</v>
      </c>
      <c r="R48" s="13">
        <f>E48*Q48</f>
        <v>24000</v>
      </c>
    </row>
    <row r="49" spans="1:18" x14ac:dyDescent="0.3">
      <c r="A49" s="4">
        <v>21</v>
      </c>
      <c r="B49" t="s">
        <v>119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120</v>
      </c>
      <c r="E50" s="4">
        <v>1</v>
      </c>
      <c r="G50" s="15">
        <f>H47*5%</f>
        <v>21003.975000000002</v>
      </c>
      <c r="H50" s="15">
        <f>G50*E50</f>
        <v>21003.975000000002</v>
      </c>
      <c r="I50" s="15">
        <f>J47*5%</f>
        <v>25923.625</v>
      </c>
      <c r="J50" s="15">
        <f>E50*I50</f>
        <v>25923.625</v>
      </c>
      <c r="K50" s="15">
        <f>L47*5%</f>
        <v>18483.725000000002</v>
      </c>
      <c r="L50" s="15">
        <f>K50*E50</f>
        <v>18483.725000000002</v>
      </c>
      <c r="M50" s="15">
        <f>N47*5%</f>
        <v>24183.724999999999</v>
      </c>
      <c r="N50" s="15">
        <f>E50*M50</f>
        <v>24183.724999999999</v>
      </c>
      <c r="O50" s="15">
        <f>P47*5%</f>
        <v>23989.915000000001</v>
      </c>
      <c r="P50" s="15">
        <f>E50*O50</f>
        <v>23989.915000000001</v>
      </c>
      <c r="Q50" s="14">
        <f>R47*5%</f>
        <v>28909.565000000002</v>
      </c>
      <c r="R50" s="14">
        <f>E50*Q50</f>
        <v>28909.565000000002</v>
      </c>
    </row>
    <row r="51" spans="1:18" x14ac:dyDescent="0.3">
      <c r="D51" t="s">
        <v>10</v>
      </c>
      <c r="H51" s="15">
        <f>H47+H48+H49+H50</f>
        <v>477083.47499999998</v>
      </c>
      <c r="J51" s="15">
        <f>J47+J48+J49+J50</f>
        <v>580396.125</v>
      </c>
      <c r="L51" s="15">
        <f>L47+L48+L49+L50</f>
        <v>424158.22499999998</v>
      </c>
      <c r="N51" s="15">
        <f>N47+N48+N49+N50</f>
        <v>543858.22499999998</v>
      </c>
      <c r="P51" s="15">
        <f>P47+P48+P49+P50</f>
        <v>539788.21499999997</v>
      </c>
      <c r="R51" s="14">
        <f>R47+R48+R49+R50</f>
        <v>643100.86499999999</v>
      </c>
    </row>
    <row r="52" spans="1:18" x14ac:dyDescent="0.3">
      <c r="B52" t="s">
        <v>2</v>
      </c>
      <c r="H52" s="15">
        <f>H51*20%</f>
        <v>95416.695000000007</v>
      </c>
      <c r="J52" s="15">
        <f>J51*20%</f>
        <v>116079.22500000001</v>
      </c>
      <c r="L52" s="15">
        <f>L51*20%</f>
        <v>84831.645000000004</v>
      </c>
      <c r="N52" s="15">
        <f>N51*20%</f>
        <v>108771.645</v>
      </c>
      <c r="P52" s="15">
        <f>P51*20%</f>
        <v>107957.643</v>
      </c>
      <c r="R52" s="15">
        <f>R51*20%</f>
        <v>128620.17300000001</v>
      </c>
    </row>
    <row r="53" spans="1:18" x14ac:dyDescent="0.3">
      <c r="B53" t="s">
        <v>3</v>
      </c>
      <c r="H53" s="15">
        <f>H52+H51</f>
        <v>572500.16999999993</v>
      </c>
      <c r="J53" s="15">
        <f>J52+J51</f>
        <v>696475.35</v>
      </c>
      <c r="L53" s="15">
        <f>L52+L51</f>
        <v>508989.87</v>
      </c>
      <c r="N53" s="15">
        <f>N52+N51</f>
        <v>652629.87</v>
      </c>
      <c r="P53" s="15">
        <f>P52+P51</f>
        <v>647745.85800000001</v>
      </c>
      <c r="R53" s="14">
        <f>R52+R51</f>
        <v>771721.03799999994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2026-05-28T18:00:00Z</dcterms:modified>
</cp:coreProperties>
</file>