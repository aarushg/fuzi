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 activeTab="2"/>
  </bookViews>
  <sheets>
    <sheet name="sv" sheetId="1" r:id="rId1"/>
    <sheet name="bv" sheetId="3" r:id="rId2"/>
    <sheet name="RG-BV" sheetId="4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4" l="1"/>
  <c r="Q19" i="4" s="1"/>
  <c r="R19" i="4" s="1"/>
  <c r="H49" i="4"/>
  <c r="I49" i="4" s="1"/>
  <c r="P48" i="4"/>
  <c r="O48" i="4"/>
  <c r="Q48" i="4" s="1"/>
  <c r="K48" i="4"/>
  <c r="M48" i="4" s="1"/>
  <c r="I48" i="4"/>
  <c r="E48" i="4"/>
  <c r="R46" i="4"/>
  <c r="P46" i="4"/>
  <c r="N46" i="4"/>
  <c r="L46" i="4"/>
  <c r="J46" i="4"/>
  <c r="H46" i="4"/>
  <c r="O45" i="4"/>
  <c r="Q45" i="4" s="1"/>
  <c r="R45" i="4" s="1"/>
  <c r="I45" i="4"/>
  <c r="J45" i="4" s="1"/>
  <c r="L45" i="4" s="1"/>
  <c r="N45" i="4" s="1"/>
  <c r="H45" i="4"/>
  <c r="D45" i="4"/>
  <c r="Q44" i="4"/>
  <c r="R44" i="4" s="1"/>
  <c r="I44" i="4"/>
  <c r="J44" i="4" s="1"/>
  <c r="G44" i="4"/>
  <c r="O44" i="4" s="1"/>
  <c r="P44" i="4" s="1"/>
  <c r="C44" i="4"/>
  <c r="O43" i="4"/>
  <c r="I43" i="4"/>
  <c r="J43" i="4" s="1"/>
  <c r="L43" i="4" s="1"/>
  <c r="N43" i="4" s="1"/>
  <c r="H43" i="4"/>
  <c r="P42" i="4"/>
  <c r="O42" i="4"/>
  <c r="M42" i="4"/>
  <c r="K42" i="4"/>
  <c r="L42" i="4" s="1"/>
  <c r="I42" i="4"/>
  <c r="Q42" i="4" s="1"/>
  <c r="E42" i="4"/>
  <c r="Q41" i="4"/>
  <c r="R41" i="4" s="1"/>
  <c r="O41" i="4"/>
  <c r="P41" i="4" s="1"/>
  <c r="M41" i="4"/>
  <c r="N41" i="4" s="1"/>
  <c r="L41" i="4"/>
  <c r="K41" i="4"/>
  <c r="J41" i="4"/>
  <c r="H41" i="4"/>
  <c r="H40" i="4"/>
  <c r="G40" i="4"/>
  <c r="O39" i="4"/>
  <c r="P39" i="4" s="1"/>
  <c r="J39" i="4"/>
  <c r="L39" i="4" s="1"/>
  <c r="N39" i="4" s="1"/>
  <c r="I39" i="4"/>
  <c r="G39" i="4"/>
  <c r="H39" i="4" s="1"/>
  <c r="G38" i="4"/>
  <c r="H38" i="4" s="1"/>
  <c r="G37" i="4"/>
  <c r="O36" i="4"/>
  <c r="P36" i="4" s="1"/>
  <c r="I36" i="4"/>
  <c r="J36" i="4" s="1"/>
  <c r="L36" i="4" s="1"/>
  <c r="N36" i="4" s="1"/>
  <c r="G36" i="4"/>
  <c r="H36" i="4" s="1"/>
  <c r="D36" i="4"/>
  <c r="O35" i="4"/>
  <c r="N35" i="4"/>
  <c r="H35" i="4"/>
  <c r="G35" i="4"/>
  <c r="I35" i="4" s="1"/>
  <c r="J35" i="4" s="1"/>
  <c r="G34" i="4"/>
  <c r="H34" i="4" s="1"/>
  <c r="I34" i="4" s="1"/>
  <c r="J34" i="4" s="1"/>
  <c r="D34" i="4"/>
  <c r="O32" i="4"/>
  <c r="P32" i="4" s="1"/>
  <c r="Q32" i="4" s="1"/>
  <c r="R32" i="4" s="1"/>
  <c r="H32" i="4"/>
  <c r="I32" i="4" s="1"/>
  <c r="J32" i="4" s="1"/>
  <c r="L32" i="4" s="1"/>
  <c r="N32" i="4" s="1"/>
  <c r="O31" i="4"/>
  <c r="Q31" i="4" s="1"/>
  <c r="K31" i="4"/>
  <c r="M31" i="4" s="1"/>
  <c r="I31" i="4"/>
  <c r="Q30" i="4"/>
  <c r="M29" i="4"/>
  <c r="I29" i="4"/>
  <c r="K29" i="4" s="1"/>
  <c r="P28" i="4"/>
  <c r="Q28" i="4" s="1"/>
  <c r="R28" i="4" s="1"/>
  <c r="J28" i="4"/>
  <c r="O28" i="4" s="1"/>
  <c r="I28" i="4"/>
  <c r="H28" i="4"/>
  <c r="Q27" i="4"/>
  <c r="R27" i="4" s="1"/>
  <c r="P27" i="4"/>
  <c r="H27" i="4"/>
  <c r="I27" i="4" s="1"/>
  <c r="G27" i="4"/>
  <c r="Q25" i="4"/>
  <c r="R25" i="4" s="1"/>
  <c r="P25" i="4"/>
  <c r="O25" i="4"/>
  <c r="I25" i="4"/>
  <c r="J25" i="4" s="1"/>
  <c r="L25" i="4" s="1"/>
  <c r="N25" i="4" s="1"/>
  <c r="G25" i="4"/>
  <c r="H25" i="4" s="1"/>
  <c r="O24" i="4"/>
  <c r="P24" i="4" s="1"/>
  <c r="N24" i="4"/>
  <c r="L24" i="4"/>
  <c r="H24" i="4"/>
  <c r="G23" i="4"/>
  <c r="I23" i="4" s="1"/>
  <c r="J23" i="4" s="1"/>
  <c r="L23" i="4" s="1"/>
  <c r="N23" i="4" s="1"/>
  <c r="O22" i="4"/>
  <c r="Q22" i="4" s="1"/>
  <c r="R22" i="4" s="1"/>
  <c r="I22" i="4"/>
  <c r="J22" i="4" s="1"/>
  <c r="L22" i="4" s="1"/>
  <c r="N22" i="4" s="1"/>
  <c r="H22" i="4"/>
  <c r="Q21" i="4"/>
  <c r="R21" i="4" s="1"/>
  <c r="O21" i="4"/>
  <c r="P21" i="4" s="1"/>
  <c r="J21" i="4"/>
  <c r="L21" i="4" s="1"/>
  <c r="N21" i="4" s="1"/>
  <c r="I21" i="4"/>
  <c r="H21" i="4"/>
  <c r="R20" i="4"/>
  <c r="P20" i="4"/>
  <c r="N20" i="4"/>
  <c r="L20" i="4"/>
  <c r="J20" i="4"/>
  <c r="H20" i="4"/>
  <c r="O19" i="4"/>
  <c r="P19" i="4" s="1"/>
  <c r="L19" i="4"/>
  <c r="K19" i="4"/>
  <c r="H19" i="4"/>
  <c r="Q18" i="4"/>
  <c r="R18" i="4" s="1"/>
  <c r="P18" i="4"/>
  <c r="M17" i="4"/>
  <c r="K17" i="4"/>
  <c r="I17" i="4"/>
  <c r="J17" i="4" s="1"/>
  <c r="L17" i="4" s="1"/>
  <c r="H17" i="4"/>
  <c r="E17" i="4"/>
  <c r="R17" i="4" s="1"/>
  <c r="Q16" i="4"/>
  <c r="R16" i="4" s="1"/>
  <c r="O16" i="4"/>
  <c r="P16" i="4" s="1"/>
  <c r="N16" i="4"/>
  <c r="K16" i="4"/>
  <c r="L16" i="4" s="1"/>
  <c r="J16" i="4"/>
  <c r="I16" i="4"/>
  <c r="G16" i="4"/>
  <c r="H16" i="4" s="1"/>
  <c r="R14" i="4"/>
  <c r="K11" i="4"/>
  <c r="K12" i="4" s="1"/>
  <c r="K10" i="4"/>
  <c r="J10" i="4"/>
  <c r="J9" i="4"/>
  <c r="J8" i="4"/>
  <c r="J7" i="4"/>
  <c r="J6" i="4"/>
  <c r="J5" i="4"/>
  <c r="J4" i="4"/>
  <c r="G26" i="4" s="1"/>
  <c r="J3" i="4"/>
  <c r="J2" i="4"/>
  <c r="I42" i="3"/>
  <c r="Q42" i="3" s="1"/>
  <c r="H49" i="3"/>
  <c r="I49" i="3" s="1"/>
  <c r="O48" i="3"/>
  <c r="Q48" i="3" s="1"/>
  <c r="K48" i="3"/>
  <c r="I48" i="3"/>
  <c r="E48" i="3"/>
  <c r="R46" i="3"/>
  <c r="P46" i="3"/>
  <c r="N46" i="3"/>
  <c r="L46" i="3"/>
  <c r="J46" i="3"/>
  <c r="H46" i="3"/>
  <c r="I45" i="3"/>
  <c r="J45" i="3" s="1"/>
  <c r="L45" i="3" s="1"/>
  <c r="N45" i="3" s="1"/>
  <c r="H45" i="3"/>
  <c r="D45" i="3"/>
  <c r="Q44" i="3"/>
  <c r="R44" i="3" s="1"/>
  <c r="I44" i="3"/>
  <c r="J44" i="3" s="1"/>
  <c r="G44" i="3"/>
  <c r="H44" i="3" s="1"/>
  <c r="C44" i="3"/>
  <c r="P43" i="3"/>
  <c r="O43" i="3"/>
  <c r="Q43" i="3" s="1"/>
  <c r="R43" i="3" s="1"/>
  <c r="N43" i="3"/>
  <c r="J43" i="3"/>
  <c r="L43" i="3" s="1"/>
  <c r="I43" i="3"/>
  <c r="H43" i="3"/>
  <c r="O42" i="3"/>
  <c r="M42" i="3"/>
  <c r="K42" i="3"/>
  <c r="L42" i="3" s="1"/>
  <c r="H42" i="3"/>
  <c r="E42" i="3"/>
  <c r="P42" i="3" s="1"/>
  <c r="R41" i="3"/>
  <c r="Q41" i="3"/>
  <c r="P41" i="3"/>
  <c r="O41" i="3"/>
  <c r="N41" i="3"/>
  <c r="M41" i="3"/>
  <c r="L41" i="3"/>
  <c r="K41" i="3"/>
  <c r="J41" i="3"/>
  <c r="H41" i="3"/>
  <c r="P40" i="3"/>
  <c r="O40" i="3"/>
  <c r="J40" i="3"/>
  <c r="L40" i="3" s="1"/>
  <c r="N40" i="3" s="1"/>
  <c r="I40" i="3"/>
  <c r="H40" i="3"/>
  <c r="G40" i="3"/>
  <c r="Q40" i="3" s="1"/>
  <c r="R40" i="3" s="1"/>
  <c r="H39" i="3"/>
  <c r="G39" i="3"/>
  <c r="O39" i="3" s="1"/>
  <c r="P39" i="3" s="1"/>
  <c r="P38" i="3"/>
  <c r="O38" i="3"/>
  <c r="J38" i="3"/>
  <c r="L38" i="3" s="1"/>
  <c r="N38" i="3" s="1"/>
  <c r="I38" i="3"/>
  <c r="H38" i="3"/>
  <c r="G38" i="3"/>
  <c r="Q38" i="3" s="1"/>
  <c r="R38" i="3" s="1"/>
  <c r="O37" i="3"/>
  <c r="P37" i="3" s="1"/>
  <c r="I37" i="3"/>
  <c r="J37" i="3" s="1"/>
  <c r="L37" i="3" s="1"/>
  <c r="N37" i="3" s="1"/>
  <c r="G37" i="3"/>
  <c r="Q37" i="3" s="1"/>
  <c r="R37" i="3" s="1"/>
  <c r="H36" i="3"/>
  <c r="G36" i="3"/>
  <c r="O36" i="3" s="1"/>
  <c r="P36" i="3" s="1"/>
  <c r="N35" i="3"/>
  <c r="J35" i="3"/>
  <c r="H35" i="3"/>
  <c r="G35" i="3"/>
  <c r="I35" i="3" s="1"/>
  <c r="O35" i="3" s="1"/>
  <c r="P35" i="3" s="1"/>
  <c r="H34" i="3"/>
  <c r="I34" i="3" s="1"/>
  <c r="J34" i="3" s="1"/>
  <c r="D34" i="3"/>
  <c r="G34" i="3" s="1"/>
  <c r="P32" i="3"/>
  <c r="Q32" i="3" s="1"/>
  <c r="R32" i="3" s="1"/>
  <c r="O32" i="3"/>
  <c r="H32" i="3"/>
  <c r="I32" i="3" s="1"/>
  <c r="J32" i="3" s="1"/>
  <c r="L32" i="3" s="1"/>
  <c r="N32" i="3" s="1"/>
  <c r="I31" i="3"/>
  <c r="Q30" i="3"/>
  <c r="K29" i="3"/>
  <c r="M29" i="3" s="1"/>
  <c r="I29" i="3"/>
  <c r="O28" i="3"/>
  <c r="P28" i="3" s="1"/>
  <c r="Q28" i="3" s="1"/>
  <c r="R28" i="3" s="1"/>
  <c r="I28" i="3"/>
  <c r="J28" i="3" s="1"/>
  <c r="L28" i="3" s="1"/>
  <c r="N28" i="3" s="1"/>
  <c r="H28" i="3"/>
  <c r="R27" i="3"/>
  <c r="P27" i="3"/>
  <c r="Q27" i="3" s="1"/>
  <c r="H27" i="3"/>
  <c r="I27" i="3" s="1"/>
  <c r="M27" i="3" s="1"/>
  <c r="N27" i="3" s="1"/>
  <c r="G27" i="3"/>
  <c r="H26" i="3"/>
  <c r="G26" i="3"/>
  <c r="O26" i="3" s="1"/>
  <c r="P26" i="3" s="1"/>
  <c r="O25" i="3"/>
  <c r="P25" i="3" s="1"/>
  <c r="I25" i="3"/>
  <c r="J25" i="3" s="1"/>
  <c r="L25" i="3" s="1"/>
  <c r="N25" i="3" s="1"/>
  <c r="H25" i="3"/>
  <c r="G25" i="3"/>
  <c r="Q25" i="3" s="1"/>
  <c r="R25" i="3" s="1"/>
  <c r="Q24" i="3"/>
  <c r="R24" i="3" s="1"/>
  <c r="P24" i="3"/>
  <c r="O24" i="3"/>
  <c r="N24" i="3"/>
  <c r="L24" i="3"/>
  <c r="H24" i="3"/>
  <c r="G23" i="3"/>
  <c r="H23" i="3" s="1"/>
  <c r="O22" i="3"/>
  <c r="P22" i="3" s="1"/>
  <c r="L22" i="3"/>
  <c r="N22" i="3" s="1"/>
  <c r="I22" i="3"/>
  <c r="J22" i="3" s="1"/>
  <c r="H22" i="3"/>
  <c r="I21" i="3"/>
  <c r="O21" i="3" s="1"/>
  <c r="H21" i="3"/>
  <c r="R20" i="3"/>
  <c r="P20" i="3"/>
  <c r="N20" i="3"/>
  <c r="L20" i="3"/>
  <c r="J20" i="3"/>
  <c r="H20" i="3"/>
  <c r="R19" i="3"/>
  <c r="Q19" i="3"/>
  <c r="M19" i="3"/>
  <c r="N19" i="3" s="1"/>
  <c r="J19" i="3"/>
  <c r="H19" i="3"/>
  <c r="L19" i="3" s="1"/>
  <c r="Q18" i="3"/>
  <c r="R18" i="3" s="1"/>
  <c r="P18" i="3"/>
  <c r="M17" i="3"/>
  <c r="K17" i="3"/>
  <c r="I17" i="3"/>
  <c r="J17" i="3" s="1"/>
  <c r="L17" i="3" s="1"/>
  <c r="N17" i="3" s="1"/>
  <c r="H17" i="3"/>
  <c r="Q16" i="3"/>
  <c r="R16" i="3" s="1"/>
  <c r="P16" i="3"/>
  <c r="M16" i="3"/>
  <c r="J16" i="3"/>
  <c r="I16" i="3"/>
  <c r="H16" i="3"/>
  <c r="G16" i="3"/>
  <c r="O16" i="3" s="1"/>
  <c r="R14" i="3"/>
  <c r="E29" i="3" s="1"/>
  <c r="K10" i="3"/>
  <c r="K11" i="3" s="1"/>
  <c r="K12" i="3" s="1"/>
  <c r="J10" i="3"/>
  <c r="J9" i="3"/>
  <c r="J8" i="3"/>
  <c r="J7" i="3"/>
  <c r="J6" i="3"/>
  <c r="J5" i="3"/>
  <c r="J4" i="3"/>
  <c r="J3" i="3"/>
  <c r="J2" i="3"/>
  <c r="D34" i="1"/>
  <c r="O32" i="1"/>
  <c r="E30" i="1"/>
  <c r="E29" i="1"/>
  <c r="M19" i="4" l="1"/>
  <c r="N19" i="4" s="1"/>
  <c r="J19" i="4"/>
  <c r="K26" i="4"/>
  <c r="L26" i="4" s="1"/>
  <c r="I26" i="4"/>
  <c r="J26" i="4" s="1"/>
  <c r="M26" i="4"/>
  <c r="N26" i="4" s="1"/>
  <c r="H26" i="4"/>
  <c r="Q26" i="4"/>
  <c r="R26" i="4" s="1"/>
  <c r="O26" i="4"/>
  <c r="P26" i="4" s="1"/>
  <c r="J27" i="4"/>
  <c r="L27" i="4" s="1"/>
  <c r="M27" i="4"/>
  <c r="N27" i="4" s="1"/>
  <c r="O34" i="4"/>
  <c r="P34" i="4" s="1"/>
  <c r="Q34" i="4" s="1"/>
  <c r="R34" i="4" s="1"/>
  <c r="L34" i="4"/>
  <c r="N34" i="4" s="1"/>
  <c r="J49" i="4"/>
  <c r="K49" i="4"/>
  <c r="L49" i="4" s="1"/>
  <c r="M49" i="4" s="1"/>
  <c r="N49" i="4" s="1"/>
  <c r="O49" i="4" s="1"/>
  <c r="P49" i="4" s="1"/>
  <c r="Q49" i="4" s="1"/>
  <c r="R49" i="4" s="1"/>
  <c r="N17" i="4"/>
  <c r="D38" i="4"/>
  <c r="E29" i="4"/>
  <c r="Q24" i="4"/>
  <c r="R24" i="4" s="1"/>
  <c r="R42" i="4"/>
  <c r="N42" i="4"/>
  <c r="J42" i="4"/>
  <c r="E31" i="4"/>
  <c r="D37" i="4"/>
  <c r="H42" i="4"/>
  <c r="R48" i="4"/>
  <c r="N48" i="4"/>
  <c r="J48" i="4"/>
  <c r="L48" i="4"/>
  <c r="M16" i="4"/>
  <c r="P17" i="4"/>
  <c r="L28" i="4"/>
  <c r="N28" i="4" s="1"/>
  <c r="E30" i="4"/>
  <c r="L31" i="4"/>
  <c r="O37" i="4"/>
  <c r="P37" i="4" s="1"/>
  <c r="I37" i="4"/>
  <c r="J37" i="4" s="1"/>
  <c r="L37" i="4" s="1"/>
  <c r="N37" i="4" s="1"/>
  <c r="H37" i="4"/>
  <c r="Q37" i="4"/>
  <c r="R37" i="4" s="1"/>
  <c r="O40" i="4"/>
  <c r="P40" i="4" s="1"/>
  <c r="I40" i="4"/>
  <c r="J40" i="4" s="1"/>
  <c r="L40" i="4" s="1"/>
  <c r="N40" i="4" s="1"/>
  <c r="Q40" i="4"/>
  <c r="R40" i="4" s="1"/>
  <c r="H48" i="4"/>
  <c r="E18" i="4"/>
  <c r="O38" i="4"/>
  <c r="P38" i="4" s="1"/>
  <c r="I38" i="4"/>
  <c r="J38" i="4" s="1"/>
  <c r="L38" i="4" s="1"/>
  <c r="N38" i="4" s="1"/>
  <c r="Q38" i="4"/>
  <c r="R38" i="4" s="1"/>
  <c r="P43" i="4"/>
  <c r="Q43" i="4"/>
  <c r="R43" i="4" s="1"/>
  <c r="H23" i="4"/>
  <c r="P45" i="4"/>
  <c r="E16" i="4"/>
  <c r="P22" i="4"/>
  <c r="Q35" i="4"/>
  <c r="R35" i="4" s="1"/>
  <c r="P35" i="4"/>
  <c r="Q36" i="4"/>
  <c r="R36" i="4" s="1"/>
  <c r="Q39" i="4"/>
  <c r="R39" i="4" s="1"/>
  <c r="H44" i="4"/>
  <c r="J42" i="3"/>
  <c r="Q21" i="3"/>
  <c r="R21" i="3" s="1"/>
  <c r="P21" i="3"/>
  <c r="R29" i="3"/>
  <c r="H29" i="3"/>
  <c r="N29" i="3"/>
  <c r="J29" i="3"/>
  <c r="P29" i="3"/>
  <c r="O34" i="3"/>
  <c r="P34" i="3" s="1"/>
  <c r="Q34" i="3" s="1"/>
  <c r="R34" i="3" s="1"/>
  <c r="L34" i="3"/>
  <c r="N34" i="3" s="1"/>
  <c r="E16" i="3"/>
  <c r="J21" i="3"/>
  <c r="L21" i="3" s="1"/>
  <c r="N21" i="3" s="1"/>
  <c r="J27" i="3"/>
  <c r="L27" i="3" s="1"/>
  <c r="O31" i="3"/>
  <c r="Q31" i="3" s="1"/>
  <c r="K31" i="3"/>
  <c r="M48" i="3"/>
  <c r="L48" i="3"/>
  <c r="I23" i="3"/>
  <c r="J23" i="3" s="1"/>
  <c r="L23" i="3" s="1"/>
  <c r="N23" i="3" s="1"/>
  <c r="D37" i="3"/>
  <c r="E17" i="3"/>
  <c r="D36" i="3"/>
  <c r="E31" i="3"/>
  <c r="E30" i="3"/>
  <c r="L29" i="3"/>
  <c r="O19" i="3"/>
  <c r="P19" i="3" s="1"/>
  <c r="K19" i="3"/>
  <c r="Q22" i="3"/>
  <c r="R22" i="3" s="1"/>
  <c r="Q35" i="3"/>
  <c r="R35" i="3" s="1"/>
  <c r="D38" i="3"/>
  <c r="O45" i="3"/>
  <c r="P48" i="3"/>
  <c r="H48" i="3"/>
  <c r="R48" i="3"/>
  <c r="N48" i="3"/>
  <c r="J48" i="3"/>
  <c r="J49" i="3"/>
  <c r="K49" i="3"/>
  <c r="L49" i="3" s="1"/>
  <c r="M49" i="3" s="1"/>
  <c r="N49" i="3" s="1"/>
  <c r="O49" i="3" s="1"/>
  <c r="P49" i="3" s="1"/>
  <c r="Q49" i="3" s="1"/>
  <c r="R49" i="3" s="1"/>
  <c r="O44" i="3"/>
  <c r="P44" i="3" s="1"/>
  <c r="K16" i="3"/>
  <c r="L16" i="3" s="1"/>
  <c r="I26" i="3"/>
  <c r="J26" i="3" s="1"/>
  <c r="M26" i="3"/>
  <c r="N26" i="3" s="1"/>
  <c r="Q26" i="3"/>
  <c r="R26" i="3" s="1"/>
  <c r="Q36" i="3"/>
  <c r="R36" i="3" s="1"/>
  <c r="H37" i="3"/>
  <c r="Q39" i="3"/>
  <c r="R39" i="3" s="1"/>
  <c r="N42" i="3"/>
  <c r="R42" i="3"/>
  <c r="K26" i="3"/>
  <c r="L26" i="3" s="1"/>
  <c r="I36" i="3"/>
  <c r="J36" i="3" s="1"/>
  <c r="L36" i="3" s="1"/>
  <c r="N36" i="3" s="1"/>
  <c r="I39" i="3"/>
  <c r="J39" i="3" s="1"/>
  <c r="L39" i="3" s="1"/>
  <c r="N39" i="3" s="1"/>
  <c r="O25" i="1"/>
  <c r="G25" i="1"/>
  <c r="G23" i="1"/>
  <c r="G16" i="1"/>
  <c r="P29" i="4" l="1"/>
  <c r="H29" i="4"/>
  <c r="R29" i="4"/>
  <c r="J29" i="4"/>
  <c r="N29" i="4"/>
  <c r="N18" i="4"/>
  <c r="L18" i="4"/>
  <c r="J18" i="4"/>
  <c r="R31" i="4"/>
  <c r="H31" i="4"/>
  <c r="P31" i="4"/>
  <c r="J31" i="4"/>
  <c r="N31" i="4"/>
  <c r="J30" i="4"/>
  <c r="L30" i="4"/>
  <c r="H30" i="4"/>
  <c r="H47" i="4" s="1"/>
  <c r="E33" i="4"/>
  <c r="G33" i="4" s="1"/>
  <c r="H33" i="4" s="1"/>
  <c r="I33" i="4" s="1"/>
  <c r="J33" i="4" s="1"/>
  <c r="P30" i="4"/>
  <c r="N30" i="4"/>
  <c r="R30" i="4"/>
  <c r="L29" i="4"/>
  <c r="N16" i="3"/>
  <c r="P45" i="3"/>
  <c r="Q45" i="3"/>
  <c r="R45" i="3" s="1"/>
  <c r="P17" i="3"/>
  <c r="R17" i="3"/>
  <c r="E18" i="3"/>
  <c r="N30" i="3"/>
  <c r="L30" i="3"/>
  <c r="E33" i="3"/>
  <c r="G33" i="3" s="1"/>
  <c r="H33" i="3" s="1"/>
  <c r="I33" i="3" s="1"/>
  <c r="J33" i="3" s="1"/>
  <c r="P30" i="3"/>
  <c r="H30" i="3"/>
  <c r="J30" i="3"/>
  <c r="R30" i="3"/>
  <c r="R31" i="3"/>
  <c r="J31" i="3"/>
  <c r="P31" i="3"/>
  <c r="H31" i="3"/>
  <c r="L31" i="3"/>
  <c r="M31" i="3"/>
  <c r="N31" i="3" s="1"/>
  <c r="O24" i="1"/>
  <c r="G50" i="4" l="1"/>
  <c r="H50" i="4" s="1"/>
  <c r="H51" i="4" s="1"/>
  <c r="H53" i="4" s="1"/>
  <c r="L33" i="4"/>
  <c r="N33" i="4" s="1"/>
  <c r="O33" i="4"/>
  <c r="P33" i="4" s="1"/>
  <c r="Q33" i="4" s="1"/>
  <c r="R33" i="4" s="1"/>
  <c r="L47" i="4"/>
  <c r="R47" i="4"/>
  <c r="N47" i="4"/>
  <c r="J47" i="4"/>
  <c r="L18" i="3"/>
  <c r="N18" i="3"/>
  <c r="N47" i="3" s="1"/>
  <c r="J18" i="3"/>
  <c r="J47" i="3" s="1"/>
  <c r="O33" i="3"/>
  <c r="P33" i="3" s="1"/>
  <c r="Q33" i="3" s="1"/>
  <c r="R33" i="3" s="1"/>
  <c r="L33" i="3"/>
  <c r="N33" i="3" s="1"/>
  <c r="R47" i="3"/>
  <c r="P47" i="3"/>
  <c r="H47" i="3"/>
  <c r="M42" i="1"/>
  <c r="M41" i="1"/>
  <c r="K41" i="1"/>
  <c r="K42" i="1"/>
  <c r="Q50" i="4" l="1"/>
  <c r="R50" i="4" s="1"/>
  <c r="R51" i="4" s="1"/>
  <c r="R53" i="4" s="1"/>
  <c r="K50" i="4"/>
  <c r="L50" i="4" s="1"/>
  <c r="L51" i="4" s="1"/>
  <c r="L53" i="4" s="1"/>
  <c r="I50" i="4"/>
  <c r="J50" i="4" s="1"/>
  <c r="J51" i="4" s="1"/>
  <c r="J53" i="4" s="1"/>
  <c r="P47" i="4"/>
  <c r="M50" i="4"/>
  <c r="N50" i="4" s="1"/>
  <c r="N51" i="4" s="1"/>
  <c r="N53" i="4" s="1"/>
  <c r="M50" i="3"/>
  <c r="N50" i="3" s="1"/>
  <c r="N51" i="3" s="1"/>
  <c r="N53" i="3" s="1"/>
  <c r="P51" i="3"/>
  <c r="P53" i="3" s="1"/>
  <c r="O50" i="3"/>
  <c r="P50" i="3" s="1"/>
  <c r="I50" i="3"/>
  <c r="J50" i="3" s="1"/>
  <c r="J51" i="3" s="1"/>
  <c r="J53" i="3" s="1"/>
  <c r="Q50" i="3"/>
  <c r="R50" i="3" s="1"/>
  <c r="R51" i="3" s="1"/>
  <c r="R53" i="3" s="1"/>
  <c r="G50" i="3"/>
  <c r="H50" i="3" s="1"/>
  <c r="H51" i="3" s="1"/>
  <c r="H53" i="3" s="1"/>
  <c r="L47" i="3"/>
  <c r="G39" i="1"/>
  <c r="Q49" i="1"/>
  <c r="O49" i="1"/>
  <c r="M49" i="1"/>
  <c r="K49" i="1"/>
  <c r="I49" i="1"/>
  <c r="G38" i="1"/>
  <c r="G36" i="1"/>
  <c r="Q42" i="1"/>
  <c r="Q41" i="1"/>
  <c r="O42" i="1"/>
  <c r="O41" i="1"/>
  <c r="G35" i="1"/>
  <c r="M31" i="1"/>
  <c r="K31" i="1"/>
  <c r="R30" i="1"/>
  <c r="P30" i="1"/>
  <c r="M29" i="1"/>
  <c r="K29" i="1"/>
  <c r="G27" i="1"/>
  <c r="J10" i="1"/>
  <c r="J9" i="1"/>
  <c r="J8" i="1"/>
  <c r="J7" i="1"/>
  <c r="J6" i="1"/>
  <c r="J5" i="1"/>
  <c r="J4" i="1"/>
  <c r="J3" i="1"/>
  <c r="J2" i="1"/>
  <c r="E17" i="1"/>
  <c r="O50" i="4" l="1"/>
  <c r="P50" i="4" s="1"/>
  <c r="P51" i="4" s="1"/>
  <c r="P53" i="4" s="1"/>
  <c r="K50" i="3"/>
  <c r="L50" i="3" s="1"/>
  <c r="L51" i="3" s="1"/>
  <c r="L53" i="3" s="1"/>
  <c r="G44" i="1" l="1"/>
  <c r="Q30" i="1"/>
  <c r="L41" i="1"/>
  <c r="P24" i="1" l="1"/>
  <c r="I23" i="1"/>
  <c r="J23" i="1" s="1"/>
  <c r="L23" i="1" s="1"/>
  <c r="N23" i="1" s="1"/>
  <c r="I28" i="1"/>
  <c r="J28" i="1" s="1"/>
  <c r="H17" i="1"/>
  <c r="J16" i="1"/>
  <c r="G26" i="1"/>
  <c r="O26" i="1" s="1"/>
  <c r="P26" i="1" s="1"/>
  <c r="I45" i="1"/>
  <c r="J45" i="1" s="1"/>
  <c r="L45" i="1" s="1"/>
  <c r="N45" i="1" s="1"/>
  <c r="H45" i="1"/>
  <c r="I31" i="1"/>
  <c r="O31" i="1" s="1"/>
  <c r="Q31" i="1" s="1"/>
  <c r="I22" i="1"/>
  <c r="O22" i="1" s="1"/>
  <c r="I21" i="1"/>
  <c r="O21" i="1" s="1"/>
  <c r="H22" i="1"/>
  <c r="H21" i="1"/>
  <c r="Q19" i="1"/>
  <c r="R19" i="1" s="1"/>
  <c r="H43" i="1"/>
  <c r="Q18" i="1"/>
  <c r="R18" i="1" s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9" i="1"/>
  <c r="R46" i="1"/>
  <c r="R20" i="1"/>
  <c r="R41" i="1"/>
  <c r="R32" i="1"/>
  <c r="P49" i="1"/>
  <c r="P46" i="1"/>
  <c r="P27" i="1"/>
  <c r="Q27" i="1" s="1"/>
  <c r="R27" i="1" s="1"/>
  <c r="P20" i="1"/>
  <c r="P41" i="1"/>
  <c r="P32" i="1"/>
  <c r="Q32" i="1" s="1"/>
  <c r="N49" i="1"/>
  <c r="N46" i="1"/>
  <c r="N20" i="1"/>
  <c r="N35" i="1"/>
  <c r="L49" i="1"/>
  <c r="L46" i="1"/>
  <c r="L20" i="1"/>
  <c r="K17" i="1"/>
  <c r="J49" i="1"/>
  <c r="J46" i="1"/>
  <c r="J20" i="1"/>
  <c r="J41" i="1"/>
  <c r="H19" i="1"/>
  <c r="O19" i="1" s="1"/>
  <c r="P19" i="1" s="1"/>
  <c r="H27" i="1"/>
  <c r="I27" i="1" s="1"/>
  <c r="M27" i="1" s="1"/>
  <c r="N27" i="1" s="1"/>
  <c r="H49" i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H26" i="1" l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O28" i="1"/>
  <c r="P28" i="1" s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P18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48" i="1" l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R17" i="1"/>
  <c r="P17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<sst xmlns="http://schemas.openxmlformats.org/spreadsheetml/2006/main" count="540" uniqueCount="129">
  <si>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</si>
  <si>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</si>
  <si>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</si>
  <si>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</si>
  <si>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</si>
  <si>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</si>
  <si>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</si>
  <si>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</si>
  <si>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</si>
  <si>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</si>
  <si>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</si>
  <si>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</si>
  <si>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</si>
  <si>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</si>
  <si>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</si>
  <si>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</si>
  <si>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</si>
  <si>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</si>
  <si>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</si>
  <si>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</si>
  <si>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</si>
  <si>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</si>
  <si>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</si>
  <si>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</si>
  <si>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</si>
  <si>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</si>
  <si>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</si>
  <si>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</si>
  <si>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</si>
  <si>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</si>
  <si>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</si>
  <si>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</si>
  <si>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</si>
  <si>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</si>
  <si>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</si>
  <si>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</si>
  <si>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</si>
  <si>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</si>
  <si>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</si>
  <si>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</si>
  <si>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</si>
  <si>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</si>
  <si>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</si>
  <si>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</si>
  <si>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</si>
  <si>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</si>
  <si>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</si>
  <si>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</si>
  <si>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</si>
  <si>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</si>
  <si>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</si>
  <si>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</si>
  <si>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</si>
  <si>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</si>
  <si>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</si>
  <si>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</si>
  <si>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</si>
  <si>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</si>
  <si>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</si>
  <si>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</si>
  <si>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</si>
  <si>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</si>
  <si>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</si>
  <si>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</si>
  <si>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</si>
  <si>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</si>
  <si>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</si>
  <si>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</si>
  <si>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</si>
  <si>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</si>
  <si>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</si>
  <si>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</si>
  <si>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</si>
  <si>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</si>
  <si>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</si>
  <si>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</si>
  <si>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</si>
  <si>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</si>
  <si>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</si>
  <si>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</si>
  <si>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</si>
  <si>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</si>
  <si>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</si>
  <si>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</si>
  <si>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</si>
  <si>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</si>
  <si>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</si>
  <si>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</si>
  <si>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</si>
  <si>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</si>
  <si>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</si>
  <si>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</si>
  <si>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</si>
  <si>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</si>
  <si>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</si>
  <si>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</si>
  <si>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</si>
  <si>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</si>
  <si>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</si>
  <si>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</si>
  <si>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</si>
  <si>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</si>
  <si>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</si>
  <si>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</si>
  <si>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</si>
  <si>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</si>
  <si>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</si>
  <si>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</si>
  <si>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</si>
  <si>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</si>
  <si>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</si>
  <si>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</si>
  <si>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</si>
  <si>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</si>
  <si>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</si>
  <si>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</si>
  <si>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</si>
  <si>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</si>
  <si>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</si>
  <si>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</si>
  <si>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</si>
  <si>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</si>
  <si>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closeloop</t>
  </si>
  <si>
    <t>9mm &amp; 9mm</t>
  </si>
  <si>
    <t>10hp openloop</t>
  </si>
  <si>
    <t xml:space="preserve">10hp </t>
  </si>
  <si>
    <t>seg-30</t>
  </si>
  <si>
    <t>srt125,13mm,4rope</t>
  </si>
  <si>
    <t>seg 30,8mm,5rope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</si>
</sst>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 applyFill="1" applyBorder="1"/>
    <xf numFmtId="0" fontId="4" fillId="0" borderId="0" xfId="0" applyFont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zoomScale="110" zoomScaleNormal="110" workbookViewId="0">
      <selection activeCell="A5" sqref="A1:XFD1048576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ht="14.65" x14ac:dyDescent="0.4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ht="14.65" x14ac:dyDescent="0.4">
      <c r="B2" t="s">
        <v>88</v>
      </c>
      <c r="E2" s="4" t="s">
        <v>26</v>
      </c>
      <c r="G2" s="4">
        <v>10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ht="14.65" x14ac:dyDescent="0.4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ht="14.65" x14ac:dyDescent="0.4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ht="14.65" x14ac:dyDescent="0.4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ht="14.65" x14ac:dyDescent="0.4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ht="14.65" x14ac:dyDescent="0.4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ht="14.65" x14ac:dyDescent="0.4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ht="14.65" x14ac:dyDescent="0.4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ht="14.65" x14ac:dyDescent="0.4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ht="14.65" x14ac:dyDescent="0.4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ht="14.65" x14ac:dyDescent="0.4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45">
      <c r="K13" s="7"/>
      <c r="Q13" s="2" t="s">
        <v>52</v>
      </c>
      <c r="R13" s="2">
        <v>4800</v>
      </c>
      <c r="V13" s="4"/>
    </row>
    <row r="14" spans="1:24" ht="15" thickBot="1" x14ac:dyDescent="0.45">
      <c r="K14" s="25" t="s">
        <v>116</v>
      </c>
      <c r="L14" s="26"/>
      <c r="M14" s="25" t="s">
        <v>116</v>
      </c>
      <c r="N14" s="27"/>
      <c r="Q14" s="2" t="s">
        <v>53</v>
      </c>
      <c r="R14" s="2">
        <f>SUM(R1:R13)</f>
        <v>17900</v>
      </c>
      <c r="V14" s="4"/>
    </row>
    <row r="15" spans="1:24" s="8" customFormat="1" ht="14.65" x14ac:dyDescent="0.4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9" t="s">
        <v>11</v>
      </c>
      <c r="H15" s="29"/>
      <c r="I15" s="29" t="s">
        <v>12</v>
      </c>
      <c r="J15" s="29"/>
      <c r="K15" s="29" t="s">
        <v>13</v>
      </c>
      <c r="L15" s="29"/>
      <c r="M15" s="29" t="s">
        <v>14</v>
      </c>
      <c r="N15" s="29"/>
      <c r="O15" s="29" t="s">
        <v>15</v>
      </c>
      <c r="P15" s="29"/>
      <c r="Q15" s="30" t="s">
        <v>16</v>
      </c>
      <c r="R15" s="30"/>
      <c r="V15" s="9"/>
      <c r="W15" s="29"/>
      <c r="X15" s="29"/>
    </row>
    <row r="16" spans="1:24" ht="14.65" x14ac:dyDescent="0.4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6500+200</f>
        <v>6700</v>
      </c>
      <c r="H16" s="15">
        <f>G16*F16</f>
        <v>53600</v>
      </c>
      <c r="I16">
        <f>G16</f>
        <v>6700</v>
      </c>
      <c r="J16" s="15">
        <f>F16*G16</f>
        <v>53600</v>
      </c>
      <c r="K16">
        <f>G16</f>
        <v>6700</v>
      </c>
      <c r="L16" s="15">
        <f>K16*F16</f>
        <v>53600</v>
      </c>
      <c r="M16">
        <f>G16</f>
        <v>6700</v>
      </c>
      <c r="N16" s="15">
        <f>L16</f>
        <v>53600</v>
      </c>
      <c r="O16">
        <f>G16</f>
        <v>6700</v>
      </c>
      <c r="P16" s="15">
        <f>F16*O16</f>
        <v>53600</v>
      </c>
      <c r="Q16" s="13">
        <f>G16</f>
        <v>6700</v>
      </c>
      <c r="R16" s="14">
        <f>F16*Q16</f>
        <v>53600</v>
      </c>
      <c r="V16" s="4"/>
    </row>
    <row r="17" spans="1:24" ht="14.65" x14ac:dyDescent="0.4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64</v>
      </c>
      <c r="V17" s="4"/>
    </row>
    <row r="18" spans="1:24" ht="14.65" x14ac:dyDescent="0.4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v>1550</v>
      </c>
      <c r="P18" s="15">
        <f>O18*F18</f>
        <v>17050</v>
      </c>
      <c r="Q18" s="13">
        <f>O18</f>
        <v>1550</v>
      </c>
      <c r="R18" s="14">
        <f>Q18*F18</f>
        <v>17050</v>
      </c>
      <c r="T18" t="s">
        <v>68</v>
      </c>
      <c r="V18" s="4"/>
    </row>
    <row r="19" spans="1:24" ht="14.65" x14ac:dyDescent="0.4">
      <c r="A19" s="4">
        <v>3</v>
      </c>
      <c r="B19" t="s">
        <v>98</v>
      </c>
      <c r="C19" t="s">
        <v>69</v>
      </c>
      <c r="E19" s="4">
        <v>1</v>
      </c>
      <c r="G19" s="13">
        <v>60000</v>
      </c>
      <c r="H19">
        <f t="shared" ref="H19:H46" si="0">G19*E19</f>
        <v>60000</v>
      </c>
      <c r="I19" s="13">
        <v>88000</v>
      </c>
      <c r="J19">
        <f>E19*I19</f>
        <v>88000</v>
      </c>
      <c r="K19">
        <f>H19</f>
        <v>60000</v>
      </c>
      <c r="L19">
        <f>H19</f>
        <v>60000</v>
      </c>
      <c r="M19">
        <f>I19</f>
        <v>88000</v>
      </c>
      <c r="N19">
        <f>E19*M19</f>
        <v>88000</v>
      </c>
      <c r="O19">
        <f>H19</f>
        <v>60000</v>
      </c>
      <c r="P19">
        <f>E19*O19</f>
        <v>60000</v>
      </c>
      <c r="Q19" s="13">
        <f>I19</f>
        <v>88000</v>
      </c>
      <c r="R19" s="13">
        <f>E19*Q19</f>
        <v>88000</v>
      </c>
      <c r="S19" t="s">
        <v>26</v>
      </c>
      <c r="V19" s="4"/>
    </row>
    <row r="20" spans="1:24" ht="14.65" x14ac:dyDescent="0.4">
      <c r="A20" s="4" t="s">
        <v>26</v>
      </c>
      <c r="B20" t="s">
        <v>99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5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4">
        <v>4</v>
      </c>
      <c r="B23" t="s">
        <v>100</v>
      </c>
      <c r="D23" t="s">
        <v>124</v>
      </c>
      <c r="E23" s="4">
        <v>1</v>
      </c>
      <c r="G23" s="13">
        <f>52500+1500</f>
        <v>54000</v>
      </c>
      <c r="H23">
        <f t="shared" si="0"/>
        <v>54000</v>
      </c>
      <c r="I23">
        <f>G23</f>
        <v>54000</v>
      </c>
      <c r="J23">
        <f>E23*I23</f>
        <v>54000</v>
      </c>
      <c r="K23" t="s">
        <v>26</v>
      </c>
      <c r="L23">
        <f>J23</f>
        <v>54000</v>
      </c>
      <c r="M23" t="s">
        <v>26</v>
      </c>
      <c r="N23">
        <f>L23</f>
        <v>54000</v>
      </c>
      <c r="O23">
        <v>0</v>
      </c>
      <c r="P23">
        <v>0</v>
      </c>
      <c r="Q23" s="13">
        <v>0</v>
      </c>
      <c r="R23" s="13">
        <v>0</v>
      </c>
      <c r="T23" s="28" t="s">
        <v>85</v>
      </c>
      <c r="U23" s="28"/>
      <c r="V23" s="28"/>
      <c r="W23" s="28"/>
      <c r="X23" s="28"/>
    </row>
    <row r="24" spans="1:24" x14ac:dyDescent="0.35">
      <c r="A24" s="4">
        <v>4</v>
      </c>
      <c r="B24" t="s">
        <v>101</v>
      </c>
      <c r="D24" t="s">
        <v>122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8" t="s">
        <v>85</v>
      </c>
      <c r="U24" s="28"/>
      <c r="V24" s="28"/>
      <c r="W24" s="28"/>
      <c r="X24" s="28"/>
    </row>
    <row r="25" spans="1:24" x14ac:dyDescent="0.35">
      <c r="A25" s="4">
        <v>5</v>
      </c>
      <c r="B25" t="s">
        <v>27</v>
      </c>
      <c r="E25" s="4">
        <v>1</v>
      </c>
      <c r="G25" s="13">
        <f>21500+500</f>
        <v>22000</v>
      </c>
      <c r="H25">
        <f t="shared" si="0"/>
        <v>22000</v>
      </c>
      <c r="I25">
        <f>G25</f>
        <v>22000</v>
      </c>
      <c r="J25">
        <f>E25*I25</f>
        <v>22000</v>
      </c>
      <c r="K25" t="s">
        <v>26</v>
      </c>
      <c r="L25">
        <f>J25</f>
        <v>22000</v>
      </c>
      <c r="M25" t="s">
        <v>26</v>
      </c>
      <c r="N25">
        <f>L25</f>
        <v>22000</v>
      </c>
      <c r="O25" s="13">
        <f>16500+500</f>
        <v>17000</v>
      </c>
      <c r="P25">
        <f>E25*O25</f>
        <v>17000</v>
      </c>
      <c r="Q25" s="13">
        <f>G25</f>
        <v>22000</v>
      </c>
      <c r="R25" s="13">
        <f>E25*Q25</f>
        <v>22000</v>
      </c>
    </row>
    <row r="26" spans="1:24" x14ac:dyDescent="0.35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4">
        <v>16</v>
      </c>
      <c r="B27" t="s">
        <v>102</v>
      </c>
      <c r="D27" t="s">
        <v>125</v>
      </c>
      <c r="E27" s="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94000</v>
      </c>
      <c r="P27">
        <f>E27*O27</f>
        <v>94000</v>
      </c>
      <c r="Q27" s="13">
        <f>P27</f>
        <v>94000</v>
      </c>
      <c r="R27" s="13">
        <f>E27*Q27</f>
        <v>94000</v>
      </c>
      <c r="S27" t="s">
        <v>126</v>
      </c>
      <c r="U27" t="s">
        <v>86</v>
      </c>
    </row>
    <row r="28" spans="1:24" x14ac:dyDescent="0.35">
      <c r="A28" s="4"/>
      <c r="B28" t="s">
        <v>71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87</v>
      </c>
    </row>
    <row r="29" spans="1:24" x14ac:dyDescent="0.35">
      <c r="A29" s="4">
        <v>6</v>
      </c>
      <c r="B29" t="s">
        <v>103</v>
      </c>
      <c r="C29" t="s">
        <v>127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2">K29*E29</f>
        <v>8994.7999999999993</v>
      </c>
      <c r="M29">
        <f>K29</f>
        <v>113</v>
      </c>
      <c r="N29" s="15">
        <f t="shared" ref="N29:N42" si="3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4">
        <v>6</v>
      </c>
      <c r="B30" t="s">
        <v>103</v>
      </c>
      <c r="C30" t="s">
        <v>128</v>
      </c>
      <c r="D30" t="s">
        <v>72</v>
      </c>
      <c r="E30" s="10">
        <f>(((R14/1000)*2)+2)*5</f>
        <v>189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14553</v>
      </c>
      <c r="Q30" s="13">
        <f>O30</f>
        <v>77</v>
      </c>
      <c r="R30" s="14">
        <f>Q30*E30</f>
        <v>14553</v>
      </c>
    </row>
    <row r="31" spans="1:24" x14ac:dyDescent="0.35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4">
        <v>8</v>
      </c>
      <c r="B32" t="s">
        <v>20</v>
      </c>
      <c r="E32" s="4">
        <v>1</v>
      </c>
      <c r="G32" s="13">
        <v>35000</v>
      </c>
      <c r="H32">
        <f t="shared" si="0"/>
        <v>35000</v>
      </c>
      <c r="I32">
        <f>H32</f>
        <v>35000</v>
      </c>
      <c r="J32">
        <f>E32*I32</f>
        <v>35000</v>
      </c>
      <c r="K32" t="s">
        <v>26</v>
      </c>
      <c r="L32">
        <f>J32</f>
        <v>35000</v>
      </c>
      <c r="M32" t="s">
        <v>26</v>
      </c>
      <c r="N32">
        <f>L32</f>
        <v>35000</v>
      </c>
      <c r="O32" s="13">
        <f>50000</f>
        <v>50000</v>
      </c>
      <c r="P32">
        <f>E32*O32</f>
        <v>50000</v>
      </c>
      <c r="Q32" s="13">
        <f>P32</f>
        <v>50000</v>
      </c>
      <c r="R32" s="13">
        <f>E32*Q32</f>
        <v>50000</v>
      </c>
    </row>
    <row r="33" spans="1:21" x14ac:dyDescent="0.35">
      <c r="A33" s="4">
        <v>9</v>
      </c>
      <c r="B33" t="s">
        <v>105</v>
      </c>
      <c r="D33" t="s">
        <v>74</v>
      </c>
      <c r="E33" s="4">
        <f>E30/4</f>
        <v>47.25</v>
      </c>
      <c r="G33" s="15">
        <f>(E33*O30)+4000+1000</f>
        <v>8638.25</v>
      </c>
      <c r="H33" s="15">
        <f>G33</f>
        <v>8638.25</v>
      </c>
      <c r="I33" s="15">
        <f>H33</f>
        <v>8638.25</v>
      </c>
      <c r="J33" s="15">
        <f>I33</f>
        <v>8638.25</v>
      </c>
      <c r="K33" s="15" t="s">
        <v>26</v>
      </c>
      <c r="L33" s="15">
        <f>J33</f>
        <v>8638.25</v>
      </c>
      <c r="M33" s="15" t="s">
        <v>26</v>
      </c>
      <c r="N33" s="15">
        <f>L33</f>
        <v>8638.25</v>
      </c>
      <c r="O33" s="15">
        <f>J33</f>
        <v>8638.25</v>
      </c>
      <c r="P33" s="15">
        <f>O33</f>
        <v>8638.25</v>
      </c>
      <c r="Q33" s="14">
        <f>P33</f>
        <v>8638.25</v>
      </c>
      <c r="R33" s="14">
        <f>Q33</f>
        <v>8638.25</v>
      </c>
    </row>
    <row r="34" spans="1:21" x14ac:dyDescent="0.35">
      <c r="A34" s="4">
        <v>10</v>
      </c>
      <c r="B34" t="s">
        <v>106</v>
      </c>
      <c r="D34" s="14">
        <f>15.5*38*(24+2)</f>
        <v>15314</v>
      </c>
      <c r="E34" s="4">
        <v>1</v>
      </c>
      <c r="G34" s="15">
        <f>D34</f>
        <v>15314</v>
      </c>
      <c r="H34" s="15">
        <f t="shared" si="0"/>
        <v>15314</v>
      </c>
      <c r="I34" s="15">
        <f>H34</f>
        <v>15314</v>
      </c>
      <c r="J34" s="15">
        <f>E34*I34</f>
        <v>15314</v>
      </c>
      <c r="K34" s="15" t="s">
        <v>26</v>
      </c>
      <c r="L34" s="15">
        <f>J34</f>
        <v>15314</v>
      </c>
      <c r="M34" s="15" t="s">
        <v>26</v>
      </c>
      <c r="N34" s="15">
        <f>L34</f>
        <v>15314</v>
      </c>
      <c r="O34" s="15">
        <f>J34</f>
        <v>15314</v>
      </c>
      <c r="P34" s="15">
        <f>E34*O34</f>
        <v>15314</v>
      </c>
      <c r="Q34" s="14">
        <f>P34</f>
        <v>15314</v>
      </c>
      <c r="R34" s="14">
        <f>E34*Q34</f>
        <v>15314</v>
      </c>
      <c r="S34" t="s">
        <v>26</v>
      </c>
      <c r="U34" t="s">
        <v>75</v>
      </c>
    </row>
    <row r="35" spans="1:21" x14ac:dyDescent="0.35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4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4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4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4">
        <v>12</v>
      </c>
      <c r="B39" t="s">
        <v>108</v>
      </c>
      <c r="C39" t="s">
        <v>121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4">
        <v>12</v>
      </c>
      <c r="B40" t="s">
        <v>108</v>
      </c>
      <c r="C40" t="s">
        <v>120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9">
        <v>13</v>
      </c>
      <c r="B41" s="8" t="s">
        <v>109</v>
      </c>
      <c r="D41" s="8" t="s">
        <v>119</v>
      </c>
      <c r="E41" s="4">
        <v>1</v>
      </c>
      <c r="F41" s="9"/>
      <c r="G41" s="8">
        <v>43245</v>
      </c>
      <c r="H41" s="8">
        <f t="shared" si="0"/>
        <v>43245</v>
      </c>
      <c r="I41" s="8">
        <v>47840</v>
      </c>
      <c r="J41" s="8">
        <f>E41*I41</f>
        <v>47840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43245</v>
      </c>
      <c r="P41" s="8">
        <f>E41*O41</f>
        <v>43245</v>
      </c>
      <c r="Q41" s="1">
        <f>I41</f>
        <v>47840</v>
      </c>
      <c r="R41" s="1">
        <f>E41*Q41</f>
        <v>47840</v>
      </c>
      <c r="S41" s="8" t="s">
        <v>26</v>
      </c>
    </row>
    <row r="42" spans="1:21" s="8" customFormat="1" x14ac:dyDescent="0.35">
      <c r="A42" s="9">
        <v>14</v>
      </c>
      <c r="B42" s="8" t="s">
        <v>110</v>
      </c>
      <c r="D42" s="8" t="s">
        <v>119</v>
      </c>
      <c r="E42" s="9">
        <f>G3</f>
        <v>4</v>
      </c>
      <c r="F42" s="9"/>
      <c r="G42" s="8">
        <v>17880</v>
      </c>
      <c r="H42" s="8">
        <f t="shared" si="0"/>
        <v>71520</v>
      </c>
      <c r="I42" s="8">
        <v>26355</v>
      </c>
      <c r="J42" s="8">
        <f>E42*I42</f>
        <v>105420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17880</v>
      </c>
      <c r="P42" s="8">
        <f>E42*O42</f>
        <v>71520</v>
      </c>
      <c r="Q42" s="1">
        <f>I42</f>
        <v>26355</v>
      </c>
      <c r="R42" s="1">
        <f>E42*Q42</f>
        <v>105420</v>
      </c>
      <c r="S42" s="8" t="s">
        <v>26</v>
      </c>
    </row>
    <row r="43" spans="1:21" x14ac:dyDescent="0.35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5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5">
      <c r="A45" s="4"/>
      <c r="B45" t="s">
        <v>70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5">
      <c r="A46" s="4">
        <v>19</v>
      </c>
      <c r="B46" t="s">
        <v>112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4"/>
      <c r="D47" t="s">
        <v>10</v>
      </c>
      <c r="H47" s="15">
        <f>SUM(H16:H46)</f>
        <v>558576.85</v>
      </c>
      <c r="J47" s="15">
        <f>SUM(J16:J46)</f>
        <v>625071.85</v>
      </c>
      <c r="L47" s="15">
        <f>SUM(L16:L46)</f>
        <v>497011.85</v>
      </c>
      <c r="N47" s="15">
        <f>SUM(N16:N46)</f>
        <v>639811.85</v>
      </c>
      <c r="P47" s="15">
        <f>SUM(P16:P46)</f>
        <v>625235.05000000005</v>
      </c>
      <c r="R47" s="14">
        <f>SUM(R16:R46)</f>
        <v>696730.05</v>
      </c>
    </row>
    <row r="48" spans="1:21" x14ac:dyDescent="0.35">
      <c r="A48" s="4">
        <v>20</v>
      </c>
      <c r="B48" t="s">
        <v>82</v>
      </c>
      <c r="D48" t="s">
        <v>83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5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4">
        <v>22</v>
      </c>
      <c r="B50" t="s">
        <v>114</v>
      </c>
      <c r="E50" s="4">
        <v>1</v>
      </c>
      <c r="G50" s="15">
        <f>H47*5%</f>
        <v>27928.842499999999</v>
      </c>
      <c r="H50" s="15">
        <f>G50*E50</f>
        <v>27928.842499999999</v>
      </c>
      <c r="I50" s="15">
        <f>J47*5%</f>
        <v>31253.592499999999</v>
      </c>
      <c r="J50" s="15">
        <f>E50*I50</f>
        <v>31253.592499999999</v>
      </c>
      <c r="K50" s="15">
        <f>L47*5%</f>
        <v>24850.592499999999</v>
      </c>
      <c r="L50" s="15">
        <f>K50*E50</f>
        <v>24850.592499999999</v>
      </c>
      <c r="M50" s="15">
        <f>N47*5%</f>
        <v>31990.592499999999</v>
      </c>
      <c r="N50" s="15">
        <f>E50*M50</f>
        <v>31990.592499999999</v>
      </c>
      <c r="O50" s="15">
        <f>P47*5%</f>
        <v>31261.752500000002</v>
      </c>
      <c r="P50" s="15">
        <f>E50*O50</f>
        <v>31261.752500000002</v>
      </c>
      <c r="Q50" s="14">
        <f>R47*5%</f>
        <v>34836.502500000002</v>
      </c>
      <c r="R50" s="14">
        <f>E50*Q50</f>
        <v>34836.502500000002</v>
      </c>
    </row>
    <row r="51" spans="1:18" x14ac:dyDescent="0.35">
      <c r="D51" t="s">
        <v>10</v>
      </c>
      <c r="H51" s="15">
        <f>H47+H48+H49+H50</f>
        <v>646505.6925</v>
      </c>
      <c r="J51" s="15">
        <f>J47+J48+J49+J50</f>
        <v>716325.4425</v>
      </c>
      <c r="L51" s="15">
        <f>L47+L48+L49+L50</f>
        <v>581862.4425</v>
      </c>
      <c r="N51" s="15">
        <f>N47+N48+N49+N50</f>
        <v>731802.4425</v>
      </c>
      <c r="P51" s="15">
        <f>P47+P48+P49+P50</f>
        <v>716496.80249999999</v>
      </c>
      <c r="R51" s="14">
        <f>R47+R48+R49+R50</f>
        <v>791566.55249999999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766505.6925</v>
      </c>
      <c r="J53" s="15">
        <f>J52+J51</f>
        <v>836325.4425</v>
      </c>
      <c r="L53" s="15">
        <f>L52+L51</f>
        <v>701862.4425</v>
      </c>
      <c r="N53" s="15">
        <f>N52+N51</f>
        <v>851802.4425</v>
      </c>
      <c r="P53" s="15">
        <f>P52+P51</f>
        <v>836496.80249999999</v>
      </c>
      <c r="R53" s="14">
        <f>R52+R51</f>
        <v>911566.55249999999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T23:X23"/>
    <mergeCell ref="T24:X24"/>
    <mergeCell ref="W15:X15"/>
    <mergeCell ref="Q15:R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selection sqref="A1:XFD1048576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4" customWidth="1"/>
    <col min="6" max="6" width="6.81640625" style="2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4" t="s">
        <v>26</v>
      </c>
      <c r="G2" s="24">
        <v>10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4">
        <v>0.65</v>
      </c>
      <c r="G4" s="2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4" t="s">
        <v>26</v>
      </c>
      <c r="V8" s="24"/>
    </row>
    <row r="9" spans="1:24" x14ac:dyDescent="0.35">
      <c r="B9" t="s">
        <v>94</v>
      </c>
      <c r="D9" t="s">
        <v>26</v>
      </c>
      <c r="E9" s="2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4"/>
    </row>
    <row r="10" spans="1:24" x14ac:dyDescent="0.35">
      <c r="B10" t="s">
        <v>95</v>
      </c>
      <c r="D10" t="s">
        <v>26</v>
      </c>
      <c r="E10" s="2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4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4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4"/>
    </row>
    <row r="13" spans="1:24" ht="15" thickBot="1" x14ac:dyDescent="0.4">
      <c r="K13" s="7"/>
      <c r="Q13" s="2" t="s">
        <v>52</v>
      </c>
      <c r="R13" s="2">
        <v>4800</v>
      </c>
      <c r="V13" s="24"/>
    </row>
    <row r="14" spans="1:24" ht="15" thickBot="1" x14ac:dyDescent="0.4">
      <c r="K14" s="25" t="s">
        <v>116</v>
      </c>
      <c r="L14" s="26"/>
      <c r="M14" s="25" t="s">
        <v>116</v>
      </c>
      <c r="N14" s="27"/>
      <c r="Q14" s="2" t="s">
        <v>53</v>
      </c>
      <c r="R14" s="2">
        <f>SUM(R1:R13)</f>
        <v>17900</v>
      </c>
      <c r="V14" s="24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3" t="s">
        <v>5</v>
      </c>
      <c r="F15" s="23" t="s">
        <v>39</v>
      </c>
      <c r="G15" s="29" t="s">
        <v>11</v>
      </c>
      <c r="H15" s="29"/>
      <c r="I15" s="29" t="s">
        <v>12</v>
      </c>
      <c r="J15" s="29"/>
      <c r="K15" s="29" t="s">
        <v>13</v>
      </c>
      <c r="L15" s="29"/>
      <c r="M15" s="29" t="s">
        <v>14</v>
      </c>
      <c r="N15" s="29"/>
      <c r="O15" s="29" t="s">
        <v>15</v>
      </c>
      <c r="P15" s="29"/>
      <c r="Q15" s="30" t="s">
        <v>16</v>
      </c>
      <c r="R15" s="30"/>
      <c r="V15" s="23"/>
      <c r="W15" s="29"/>
      <c r="X15" s="29"/>
    </row>
    <row r="16" spans="1:24" x14ac:dyDescent="0.35">
      <c r="A16" s="2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6500+200</f>
        <v>6700</v>
      </c>
      <c r="H16" s="15">
        <f>G16*F16</f>
        <v>53600</v>
      </c>
      <c r="I16">
        <f>G16</f>
        <v>6700</v>
      </c>
      <c r="J16" s="15">
        <f>F16*G16</f>
        <v>53600</v>
      </c>
      <c r="K16">
        <f>G16</f>
        <v>6700</v>
      </c>
      <c r="L16" s="15">
        <f>K16*F16</f>
        <v>53600</v>
      </c>
      <c r="M16">
        <f>G16</f>
        <v>6700</v>
      </c>
      <c r="N16" s="15">
        <f>L16</f>
        <v>53600</v>
      </c>
      <c r="O16">
        <f>G16</f>
        <v>6700</v>
      </c>
      <c r="P16" s="15">
        <f>F16*O16</f>
        <v>53600</v>
      </c>
      <c r="Q16" s="13">
        <f>G16</f>
        <v>6700</v>
      </c>
      <c r="R16" s="14">
        <f>F16*Q16</f>
        <v>53600</v>
      </c>
      <c r="V16" s="24"/>
    </row>
    <row r="17" spans="1:24" x14ac:dyDescent="0.35">
      <c r="A17" s="2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64</v>
      </c>
      <c r="V17" s="24"/>
    </row>
    <row r="18" spans="1:24" x14ac:dyDescent="0.35">
      <c r="A18" s="2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v>1550</v>
      </c>
      <c r="P18" s="15">
        <f>O18*F18</f>
        <v>17050</v>
      </c>
      <c r="Q18" s="13">
        <f>O18</f>
        <v>1550</v>
      </c>
      <c r="R18" s="14">
        <f>Q18*F18</f>
        <v>17050</v>
      </c>
      <c r="T18" t="s">
        <v>68</v>
      </c>
      <c r="V18" s="24"/>
    </row>
    <row r="19" spans="1:24" x14ac:dyDescent="0.35">
      <c r="A19" s="24">
        <v>3</v>
      </c>
      <c r="B19" t="s">
        <v>98</v>
      </c>
      <c r="C19" t="s">
        <v>69</v>
      </c>
      <c r="E19" s="24">
        <v>1</v>
      </c>
      <c r="G19" s="13">
        <v>60000</v>
      </c>
      <c r="H19">
        <f t="shared" ref="H19:H46" si="0">G19*E19</f>
        <v>60000</v>
      </c>
      <c r="I19" s="13">
        <v>88000</v>
      </c>
      <c r="J19">
        <f>E19*I19</f>
        <v>88000</v>
      </c>
      <c r="K19">
        <f>H19</f>
        <v>60000</v>
      </c>
      <c r="L19">
        <f>H19</f>
        <v>60000</v>
      </c>
      <c r="M19">
        <f>I19</f>
        <v>88000</v>
      </c>
      <c r="N19">
        <f>E19*M19</f>
        <v>88000</v>
      </c>
      <c r="O19">
        <f>H19</f>
        <v>60000</v>
      </c>
      <c r="P19">
        <f>E19*O19</f>
        <v>60000</v>
      </c>
      <c r="Q19" s="13">
        <f>I19</f>
        <v>88000</v>
      </c>
      <c r="R19" s="13">
        <f>E19*Q19</f>
        <v>88000</v>
      </c>
      <c r="S19" t="s">
        <v>26</v>
      </c>
      <c r="V19" s="24"/>
    </row>
    <row r="20" spans="1:24" x14ac:dyDescent="0.35">
      <c r="A20" s="24" t="s">
        <v>26</v>
      </c>
      <c r="B20" t="s">
        <v>99</v>
      </c>
      <c r="E20" s="2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5">
      <c r="A21" s="24"/>
      <c r="B21" t="s">
        <v>80</v>
      </c>
      <c r="E21" s="2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4"/>
      <c r="B22" t="s">
        <v>117</v>
      </c>
      <c r="E22" s="2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4">
        <v>4</v>
      </c>
      <c r="B23" t="s">
        <v>100</v>
      </c>
      <c r="D23" t="s">
        <v>124</v>
      </c>
      <c r="E23" s="24">
        <v>1</v>
      </c>
      <c r="G23" s="13">
        <f>52500+1500</f>
        <v>54000</v>
      </c>
      <c r="H23">
        <f t="shared" si="0"/>
        <v>54000</v>
      </c>
      <c r="I23">
        <f>G23</f>
        <v>54000</v>
      </c>
      <c r="J23">
        <f>E23*I23</f>
        <v>54000</v>
      </c>
      <c r="K23" t="s">
        <v>26</v>
      </c>
      <c r="L23">
        <f>J23</f>
        <v>54000</v>
      </c>
      <c r="M23" t="s">
        <v>26</v>
      </c>
      <c r="N23">
        <f>L23</f>
        <v>54000</v>
      </c>
      <c r="O23">
        <v>0</v>
      </c>
      <c r="P23">
        <v>0</v>
      </c>
      <c r="Q23" s="13">
        <v>0</v>
      </c>
      <c r="R23" s="13">
        <v>0</v>
      </c>
      <c r="T23" s="28" t="s">
        <v>85</v>
      </c>
      <c r="U23" s="28"/>
      <c r="V23" s="28"/>
      <c r="W23" s="28"/>
      <c r="X23" s="28"/>
    </row>
    <row r="24" spans="1:24" x14ac:dyDescent="0.35">
      <c r="A24" s="24">
        <v>4</v>
      </c>
      <c r="B24" t="s">
        <v>101</v>
      </c>
      <c r="D24" t="s">
        <v>122</v>
      </c>
      <c r="E24" s="2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8" t="s">
        <v>85</v>
      </c>
      <c r="U24" s="28"/>
      <c r="V24" s="28"/>
      <c r="W24" s="28"/>
      <c r="X24" s="28"/>
    </row>
    <row r="25" spans="1:24" x14ac:dyDescent="0.35">
      <c r="A25" s="24">
        <v>5</v>
      </c>
      <c r="B25" t="s">
        <v>27</v>
      </c>
      <c r="E25" s="24">
        <v>1</v>
      </c>
      <c r="G25" s="13">
        <f>21500+500</f>
        <v>22000</v>
      </c>
      <c r="H25">
        <f t="shared" si="0"/>
        <v>22000</v>
      </c>
      <c r="I25">
        <f>G25</f>
        <v>22000</v>
      </c>
      <c r="J25">
        <f>E25*I25</f>
        <v>22000</v>
      </c>
      <c r="K25" t="s">
        <v>26</v>
      </c>
      <c r="L25">
        <f>J25</f>
        <v>22000</v>
      </c>
      <c r="M25" t="s">
        <v>26</v>
      </c>
      <c r="N25">
        <f>L25</f>
        <v>22000</v>
      </c>
      <c r="O25" s="13">
        <f>16500+500</f>
        <v>17000</v>
      </c>
      <c r="P25">
        <f>E25*O25</f>
        <v>17000</v>
      </c>
      <c r="Q25" s="13">
        <f>G25</f>
        <v>22000</v>
      </c>
      <c r="R25" s="13">
        <f>E25*Q25</f>
        <v>22000</v>
      </c>
    </row>
    <row r="26" spans="1:24" x14ac:dyDescent="0.35">
      <c r="A26" s="24">
        <v>5</v>
      </c>
      <c r="B26" t="s">
        <v>0</v>
      </c>
      <c r="E26" s="2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4">
        <v>16</v>
      </c>
      <c r="B27" t="s">
        <v>102</v>
      </c>
      <c r="D27" t="s">
        <v>125</v>
      </c>
      <c r="E27" s="2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94000</v>
      </c>
      <c r="P27">
        <f>E27*O27</f>
        <v>94000</v>
      </c>
      <c r="Q27" s="13">
        <f>P27</f>
        <v>94000</v>
      </c>
      <c r="R27" s="13">
        <f>E27*Q27</f>
        <v>94000</v>
      </c>
      <c r="S27" t="s">
        <v>126</v>
      </c>
      <c r="U27" t="s">
        <v>86</v>
      </c>
    </row>
    <row r="28" spans="1:24" x14ac:dyDescent="0.35">
      <c r="A28" s="24"/>
      <c r="B28" t="s">
        <v>71</v>
      </c>
      <c r="E28" s="2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87</v>
      </c>
    </row>
    <row r="29" spans="1:24" x14ac:dyDescent="0.35">
      <c r="A29" s="24">
        <v>6</v>
      </c>
      <c r="B29" t="s">
        <v>103</v>
      </c>
      <c r="C29" t="s">
        <v>127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4">
        <v>6</v>
      </c>
      <c r="B30" t="s">
        <v>103</v>
      </c>
      <c r="C30" t="s">
        <v>128</v>
      </c>
      <c r="D30" t="s">
        <v>72</v>
      </c>
      <c r="E30" s="10">
        <f>(((R14/1000)*2)+2)*5</f>
        <v>189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14553</v>
      </c>
      <c r="Q30" s="13">
        <f>O30</f>
        <v>77</v>
      </c>
      <c r="R30" s="14">
        <f>Q30*E30</f>
        <v>14553</v>
      </c>
    </row>
    <row r="31" spans="1:24" x14ac:dyDescent="0.35">
      <c r="A31" s="2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4">
        <v>8</v>
      </c>
      <c r="B32" t="s">
        <v>20</v>
      </c>
      <c r="E32" s="24">
        <v>1</v>
      </c>
      <c r="G32" s="13">
        <v>35000</v>
      </c>
      <c r="H32">
        <f t="shared" si="0"/>
        <v>35000</v>
      </c>
      <c r="I32">
        <f>H32</f>
        <v>35000</v>
      </c>
      <c r="J32">
        <f>E32*I32</f>
        <v>35000</v>
      </c>
      <c r="K32" t="s">
        <v>26</v>
      </c>
      <c r="L32">
        <f>J32</f>
        <v>35000</v>
      </c>
      <c r="M32" t="s">
        <v>26</v>
      </c>
      <c r="N32">
        <f>L32</f>
        <v>35000</v>
      </c>
      <c r="O32" s="13">
        <f>50000</f>
        <v>50000</v>
      </c>
      <c r="P32">
        <f>E32*O32</f>
        <v>50000</v>
      </c>
      <c r="Q32" s="13">
        <f>P32</f>
        <v>50000</v>
      </c>
      <c r="R32" s="13">
        <f>E32*Q32</f>
        <v>50000</v>
      </c>
    </row>
    <row r="33" spans="1:21" x14ac:dyDescent="0.35">
      <c r="A33" s="24">
        <v>9</v>
      </c>
      <c r="B33" t="s">
        <v>105</v>
      </c>
      <c r="D33" t="s">
        <v>74</v>
      </c>
      <c r="E33" s="24">
        <f>E30/4</f>
        <v>47.25</v>
      </c>
      <c r="G33" s="15">
        <f>(E33*O30)+4000+1000</f>
        <v>8638.25</v>
      </c>
      <c r="H33" s="15">
        <f>G33</f>
        <v>8638.25</v>
      </c>
      <c r="I33" s="15">
        <f>H33</f>
        <v>8638.25</v>
      </c>
      <c r="J33" s="15">
        <f>I33</f>
        <v>8638.25</v>
      </c>
      <c r="K33" s="15" t="s">
        <v>26</v>
      </c>
      <c r="L33" s="15">
        <f>J33</f>
        <v>8638.25</v>
      </c>
      <c r="M33" s="15" t="s">
        <v>26</v>
      </c>
      <c r="N33" s="15">
        <f>L33</f>
        <v>8638.25</v>
      </c>
      <c r="O33" s="15">
        <f>J33</f>
        <v>8638.25</v>
      </c>
      <c r="P33" s="15">
        <f>O33</f>
        <v>8638.25</v>
      </c>
      <c r="Q33" s="14">
        <f>P33</f>
        <v>8638.25</v>
      </c>
      <c r="R33" s="14">
        <f>Q33</f>
        <v>8638.25</v>
      </c>
    </row>
    <row r="34" spans="1:21" x14ac:dyDescent="0.35">
      <c r="A34" s="24">
        <v>10</v>
      </c>
      <c r="B34" t="s">
        <v>106</v>
      </c>
      <c r="D34" s="14">
        <f>15.5*38*(24+2)</f>
        <v>15314</v>
      </c>
      <c r="E34" s="24">
        <v>1</v>
      </c>
      <c r="G34" s="15">
        <f>D34</f>
        <v>15314</v>
      </c>
      <c r="H34" s="15">
        <f t="shared" si="0"/>
        <v>15314</v>
      </c>
      <c r="I34" s="15">
        <f>H34</f>
        <v>15314</v>
      </c>
      <c r="J34" s="15">
        <f>E34*I34</f>
        <v>15314</v>
      </c>
      <c r="K34" s="15" t="s">
        <v>26</v>
      </c>
      <c r="L34" s="15">
        <f>J34</f>
        <v>15314</v>
      </c>
      <c r="M34" s="15" t="s">
        <v>26</v>
      </c>
      <c r="N34" s="15">
        <f>L34</f>
        <v>15314</v>
      </c>
      <c r="O34" s="15">
        <f>J34</f>
        <v>15314</v>
      </c>
      <c r="P34" s="15">
        <f>E34*O34</f>
        <v>15314</v>
      </c>
      <c r="Q34" s="14">
        <f>P34</f>
        <v>15314</v>
      </c>
      <c r="R34" s="14">
        <f>E34*Q34</f>
        <v>15314</v>
      </c>
      <c r="S34" t="s">
        <v>26</v>
      </c>
      <c r="U34" t="s">
        <v>75</v>
      </c>
    </row>
    <row r="35" spans="1:21" x14ac:dyDescent="0.35">
      <c r="A35" s="24">
        <v>11</v>
      </c>
      <c r="B35" t="s">
        <v>107</v>
      </c>
      <c r="E35" s="2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4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4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4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4">
        <v>12</v>
      </c>
      <c r="B39" t="s">
        <v>108</v>
      </c>
      <c r="C39" t="s">
        <v>121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4">
        <v>12</v>
      </c>
      <c r="B40" t="s">
        <v>108</v>
      </c>
      <c r="C40" t="s">
        <v>120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3">
        <v>13</v>
      </c>
      <c r="B41" s="8" t="s">
        <v>109</v>
      </c>
      <c r="D41" s="8" t="s">
        <v>119</v>
      </c>
      <c r="E41" s="24">
        <v>1</v>
      </c>
      <c r="F41" s="23"/>
      <c r="G41" s="8">
        <v>43245</v>
      </c>
      <c r="H41" s="8">
        <f t="shared" si="0"/>
        <v>43245</v>
      </c>
      <c r="I41" s="8"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">
        <f>I41</f>
        <v>57016</v>
      </c>
      <c r="R41" s="1">
        <f>E41*Q41</f>
        <v>57016</v>
      </c>
      <c r="S41" s="8" t="s">
        <v>26</v>
      </c>
    </row>
    <row r="42" spans="1:21" s="8" customFormat="1" x14ac:dyDescent="0.35">
      <c r="A42" s="23">
        <v>14</v>
      </c>
      <c r="B42" s="8" t="s">
        <v>110</v>
      </c>
      <c r="D42" s="8" t="s">
        <v>119</v>
      </c>
      <c r="E42" s="23">
        <f>G3</f>
        <v>4</v>
      </c>
      <c r="F42" s="23"/>
      <c r="G42" s="8">
        <v>17880</v>
      </c>
      <c r="H42" s="8">
        <f t="shared" si="0"/>
        <v>71520</v>
      </c>
      <c r="I42" s="8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">
        <f>I42</f>
        <v>40191</v>
      </c>
      <c r="R42" s="1">
        <f>E42*Q42</f>
        <v>160764</v>
      </c>
      <c r="S42" s="8" t="s">
        <v>26</v>
      </c>
    </row>
    <row r="43" spans="1:21" x14ac:dyDescent="0.35">
      <c r="A43" s="24">
        <v>17</v>
      </c>
      <c r="B43" t="s">
        <v>1</v>
      </c>
      <c r="C43" s="8" t="s">
        <v>36</v>
      </c>
      <c r="E43" s="2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5">
      <c r="A44" s="24">
        <v>18</v>
      </c>
      <c r="B44" t="s">
        <v>111</v>
      </c>
      <c r="C44">
        <f>1500+1500+1000+1000</f>
        <v>5000</v>
      </c>
      <c r="D44" t="s">
        <v>115</v>
      </c>
      <c r="E44" s="2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5">
      <c r="A45" s="24"/>
      <c r="B45" t="s">
        <v>70</v>
      </c>
      <c r="D45">
        <f>2000+1000+2000</f>
        <v>5000</v>
      </c>
      <c r="E45" s="2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5">
      <c r="A46" s="24">
        <v>19</v>
      </c>
      <c r="B46" t="s">
        <v>112</v>
      </c>
      <c r="E46" s="2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4"/>
      <c r="D47" t="s">
        <v>10</v>
      </c>
      <c r="H47" s="15">
        <f>SUM(H16:H46)</f>
        <v>558576.85</v>
      </c>
      <c r="J47" s="15">
        <f>SUM(J16:J46)</f>
        <v>689591.85</v>
      </c>
      <c r="L47" s="15">
        <f>SUM(L16:L46)</f>
        <v>497011.85</v>
      </c>
      <c r="N47" s="15">
        <f>SUM(N16:N46)</f>
        <v>639811.85</v>
      </c>
      <c r="P47" s="15">
        <f>SUM(P16:P46)</f>
        <v>625235.05000000005</v>
      </c>
      <c r="R47" s="14">
        <f>SUM(R16:R46)</f>
        <v>761250.05</v>
      </c>
    </row>
    <row r="48" spans="1:21" x14ac:dyDescent="0.35">
      <c r="A48" s="24">
        <v>20</v>
      </c>
      <c r="B48" t="s">
        <v>82</v>
      </c>
      <c r="D48" t="s">
        <v>83</v>
      </c>
      <c r="E48" s="2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5">
      <c r="A49" s="24">
        <v>21</v>
      </c>
      <c r="B49" t="s">
        <v>113</v>
      </c>
      <c r="E49" s="2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4">
        <v>22</v>
      </c>
      <c r="B50" t="s">
        <v>114</v>
      </c>
      <c r="E50" s="24">
        <v>1</v>
      </c>
      <c r="G50" s="15">
        <f>H47*5%</f>
        <v>27928.842499999999</v>
      </c>
      <c r="H50" s="15">
        <f>G50*E50</f>
        <v>27928.842499999999</v>
      </c>
      <c r="I50" s="15">
        <f>J47*5%</f>
        <v>34479.592499999999</v>
      </c>
      <c r="J50" s="15">
        <f>E50*I50</f>
        <v>34479.592499999999</v>
      </c>
      <c r="K50" s="15">
        <f>L47*5%</f>
        <v>24850.592499999999</v>
      </c>
      <c r="L50" s="15">
        <f>K50*E50</f>
        <v>24850.592499999999</v>
      </c>
      <c r="M50" s="15">
        <f>N47*5%</f>
        <v>31990.592499999999</v>
      </c>
      <c r="N50" s="15">
        <f>E50*M50</f>
        <v>31990.592499999999</v>
      </c>
      <c r="O50" s="15">
        <f>P47*5%</f>
        <v>31261.752500000002</v>
      </c>
      <c r="P50" s="15">
        <f>E50*O50</f>
        <v>31261.752500000002</v>
      </c>
      <c r="Q50" s="14">
        <f>R47*5%</f>
        <v>38062.502500000002</v>
      </c>
      <c r="R50" s="14">
        <f>E50*Q50</f>
        <v>38062.502500000002</v>
      </c>
    </row>
    <row r="51" spans="1:18" x14ac:dyDescent="0.35">
      <c r="D51" t="s">
        <v>10</v>
      </c>
      <c r="H51" s="15">
        <f>H47+H48+H49+H50</f>
        <v>646505.6925</v>
      </c>
      <c r="J51" s="15">
        <f>J47+J48+J49+J50</f>
        <v>784071.4425</v>
      </c>
      <c r="L51" s="15">
        <f>L47+L48+L49+L50</f>
        <v>581862.4425</v>
      </c>
      <c r="N51" s="15">
        <f>N47+N48+N49+N50</f>
        <v>731802.4425</v>
      </c>
      <c r="P51" s="15">
        <f>P47+P48+P49+P50</f>
        <v>716496.80249999999</v>
      </c>
      <c r="R51" s="14">
        <f>R47+R48+R49+R50</f>
        <v>859312.55249999999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766505.6925</v>
      </c>
      <c r="J53" s="15">
        <f>J52+J51</f>
        <v>904071.4425</v>
      </c>
      <c r="L53" s="15">
        <f>L52+L51</f>
        <v>701862.4425</v>
      </c>
      <c r="N53" s="15">
        <f>N52+N51</f>
        <v>851802.4425</v>
      </c>
      <c r="P53" s="15">
        <f>P52+P51</f>
        <v>836496.80249999999</v>
      </c>
      <c r="R53" s="14">
        <f>R52+R51</f>
        <v>979312.55249999999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110" zoomScaleNormal="110" workbookViewId="0">
      <selection activeCell="I53" sqref="I53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4" customWidth="1"/>
    <col min="6" max="6" width="6.81640625" style="2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4" t="s">
        <v>26</v>
      </c>
      <c r="G2" s="24">
        <v>10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4">
        <v>0.65</v>
      </c>
      <c r="G4" s="2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4" t="s">
        <v>26</v>
      </c>
      <c r="V8" s="24"/>
    </row>
    <row r="9" spans="1:24" x14ac:dyDescent="0.35">
      <c r="B9" t="s">
        <v>94</v>
      </c>
      <c r="D9" t="s">
        <v>26</v>
      </c>
      <c r="E9" s="2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4"/>
    </row>
    <row r="10" spans="1:24" x14ac:dyDescent="0.35">
      <c r="B10" t="s">
        <v>95</v>
      </c>
      <c r="D10" t="s">
        <v>26</v>
      </c>
      <c r="E10" s="2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4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4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4"/>
    </row>
    <row r="13" spans="1:24" ht="15" thickBot="1" x14ac:dyDescent="0.4">
      <c r="K13" s="7"/>
      <c r="Q13" s="2" t="s">
        <v>52</v>
      </c>
      <c r="R13" s="2">
        <v>4800</v>
      </c>
      <c r="V13" s="24"/>
    </row>
    <row r="14" spans="1:24" ht="15" thickBot="1" x14ac:dyDescent="0.4">
      <c r="K14" s="25" t="s">
        <v>116</v>
      </c>
      <c r="L14" s="26"/>
      <c r="M14" s="25" t="s">
        <v>116</v>
      </c>
      <c r="N14" s="27"/>
      <c r="Q14" s="2" t="s">
        <v>53</v>
      </c>
      <c r="R14" s="2">
        <f>SUM(R1:R13)</f>
        <v>17900</v>
      </c>
      <c r="V14" s="24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3" t="s">
        <v>5</v>
      </c>
      <c r="F15" s="23" t="s">
        <v>39</v>
      </c>
      <c r="G15" s="29" t="s">
        <v>11</v>
      </c>
      <c r="H15" s="29"/>
      <c r="I15" s="29" t="s">
        <v>12</v>
      </c>
      <c r="J15" s="29"/>
      <c r="K15" s="29" t="s">
        <v>13</v>
      </c>
      <c r="L15" s="29"/>
      <c r="M15" s="29" t="s">
        <v>14</v>
      </c>
      <c r="N15" s="29"/>
      <c r="O15" s="29" t="s">
        <v>15</v>
      </c>
      <c r="P15" s="29"/>
      <c r="Q15" s="30" t="s">
        <v>16</v>
      </c>
      <c r="R15" s="30"/>
      <c r="V15" s="23"/>
      <c r="W15" s="29"/>
      <c r="X15" s="29"/>
    </row>
    <row r="16" spans="1:24" x14ac:dyDescent="0.35">
      <c r="A16" s="2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6500+200</f>
        <v>6700</v>
      </c>
      <c r="H16" s="15">
        <f>G16*F16</f>
        <v>53600</v>
      </c>
      <c r="I16">
        <f>G16</f>
        <v>6700</v>
      </c>
      <c r="J16" s="15">
        <f>F16*G16</f>
        <v>53600</v>
      </c>
      <c r="K16">
        <f>G16</f>
        <v>6700</v>
      </c>
      <c r="L16" s="15">
        <f>K16*F16</f>
        <v>53600</v>
      </c>
      <c r="M16">
        <f>G16</f>
        <v>6700</v>
      </c>
      <c r="N16" s="15">
        <f>L16</f>
        <v>53600</v>
      </c>
      <c r="O16">
        <f>G16</f>
        <v>6700</v>
      </c>
      <c r="P16" s="15">
        <f>F16*O16</f>
        <v>53600</v>
      </c>
      <c r="Q16" s="13">
        <f>G16</f>
        <v>6700</v>
      </c>
      <c r="R16" s="14">
        <f>F16*Q16</f>
        <v>53600</v>
      </c>
      <c r="V16" s="24"/>
    </row>
    <row r="17" spans="1:24" x14ac:dyDescent="0.35">
      <c r="A17" s="2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64</v>
      </c>
      <c r="V17" s="24"/>
    </row>
    <row r="18" spans="1:24" x14ac:dyDescent="0.35">
      <c r="A18" s="2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v>1550</v>
      </c>
      <c r="P18" s="15">
        <f>O18*F18</f>
        <v>17050</v>
      </c>
      <c r="Q18" s="13">
        <f>O18</f>
        <v>1550</v>
      </c>
      <c r="R18" s="14">
        <f>Q18*F18</f>
        <v>17050</v>
      </c>
      <c r="T18" t="s">
        <v>68</v>
      </c>
      <c r="V18" s="24"/>
    </row>
    <row r="19" spans="1:24" x14ac:dyDescent="0.35">
      <c r="A19" s="24">
        <v>3</v>
      </c>
      <c r="B19" t="s">
        <v>98</v>
      </c>
      <c r="C19" t="s">
        <v>69</v>
      </c>
      <c r="E19" s="24">
        <v>1</v>
      </c>
      <c r="G19" s="13">
        <v>60000</v>
      </c>
      <c r="H19">
        <f t="shared" ref="H19:H46" si="0">G19*E19</f>
        <v>60000</v>
      </c>
      <c r="I19" s="13">
        <f>88000+12000</f>
        <v>100000</v>
      </c>
      <c r="J19">
        <f>E19*I19</f>
        <v>100000</v>
      </c>
      <c r="K19">
        <f>H19</f>
        <v>60000</v>
      </c>
      <c r="L19">
        <f>H19</f>
        <v>60000</v>
      </c>
      <c r="M19">
        <f>I19</f>
        <v>100000</v>
      </c>
      <c r="N19">
        <f>E19*M19</f>
        <v>100000</v>
      </c>
      <c r="O19">
        <f>H19</f>
        <v>60000</v>
      </c>
      <c r="P19">
        <f>E19*O19</f>
        <v>60000</v>
      </c>
      <c r="Q19" s="13">
        <f>I19</f>
        <v>100000</v>
      </c>
      <c r="R19" s="13">
        <f>E19*Q19</f>
        <v>100000</v>
      </c>
      <c r="S19" t="s">
        <v>26</v>
      </c>
      <c r="V19" s="24"/>
    </row>
    <row r="20" spans="1:24" x14ac:dyDescent="0.35">
      <c r="A20" s="24" t="s">
        <v>26</v>
      </c>
      <c r="B20" t="s">
        <v>99</v>
      </c>
      <c r="E20" s="2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5">
      <c r="A21" s="24"/>
      <c r="B21" t="s">
        <v>80</v>
      </c>
      <c r="E21" s="2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4"/>
      <c r="B22" t="s">
        <v>117</v>
      </c>
      <c r="E22" s="2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4">
        <v>4</v>
      </c>
      <c r="B23" t="s">
        <v>100</v>
      </c>
      <c r="D23" t="s">
        <v>124</v>
      </c>
      <c r="E23" s="24">
        <v>1</v>
      </c>
      <c r="G23" s="13">
        <f>52500+1500</f>
        <v>54000</v>
      </c>
      <c r="H23">
        <f t="shared" si="0"/>
        <v>54000</v>
      </c>
      <c r="I23">
        <f>G23</f>
        <v>54000</v>
      </c>
      <c r="J23">
        <f>E23*I23</f>
        <v>54000</v>
      </c>
      <c r="K23" t="s">
        <v>26</v>
      </c>
      <c r="L23">
        <f>J23</f>
        <v>54000</v>
      </c>
      <c r="M23" t="s">
        <v>26</v>
      </c>
      <c r="N23">
        <f>L23</f>
        <v>54000</v>
      </c>
      <c r="O23">
        <v>0</v>
      </c>
      <c r="P23">
        <v>0</v>
      </c>
      <c r="Q23" s="13">
        <v>0</v>
      </c>
      <c r="R23" s="13">
        <v>0</v>
      </c>
      <c r="T23" s="28" t="s">
        <v>85</v>
      </c>
      <c r="U23" s="28"/>
      <c r="V23" s="28"/>
      <c r="W23" s="28"/>
      <c r="X23" s="28"/>
    </row>
    <row r="24" spans="1:24" x14ac:dyDescent="0.35">
      <c r="A24" s="24">
        <v>4</v>
      </c>
      <c r="B24" t="s">
        <v>101</v>
      </c>
      <c r="D24" t="s">
        <v>122</v>
      </c>
      <c r="E24" s="2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8" t="s">
        <v>85</v>
      </c>
      <c r="U24" s="28"/>
      <c r="V24" s="28"/>
      <c r="W24" s="28"/>
      <c r="X24" s="28"/>
    </row>
    <row r="25" spans="1:24" x14ac:dyDescent="0.35">
      <c r="A25" s="24">
        <v>5</v>
      </c>
      <c r="B25" t="s">
        <v>27</v>
      </c>
      <c r="E25" s="24">
        <v>1</v>
      </c>
      <c r="G25" s="13">
        <f>21500+500</f>
        <v>22000</v>
      </c>
      <c r="H25">
        <f t="shared" si="0"/>
        <v>22000</v>
      </c>
      <c r="I25">
        <f>G25</f>
        <v>22000</v>
      </c>
      <c r="J25">
        <f>E25*I25</f>
        <v>22000</v>
      </c>
      <c r="K25" t="s">
        <v>26</v>
      </c>
      <c r="L25">
        <f>J25</f>
        <v>22000</v>
      </c>
      <c r="M25" t="s">
        <v>26</v>
      </c>
      <c r="N25">
        <f>L25</f>
        <v>22000</v>
      </c>
      <c r="O25" s="13">
        <f>16500+500</f>
        <v>17000</v>
      </c>
      <c r="P25">
        <f>E25*O25</f>
        <v>17000</v>
      </c>
      <c r="Q25" s="13">
        <f>G25</f>
        <v>22000</v>
      </c>
      <c r="R25" s="13">
        <f>E25*Q25</f>
        <v>22000</v>
      </c>
    </row>
    <row r="26" spans="1:24" x14ac:dyDescent="0.35">
      <c r="A26" s="24">
        <v>5</v>
      </c>
      <c r="B26" t="s">
        <v>0</v>
      </c>
      <c r="E26" s="2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4">
        <v>16</v>
      </c>
      <c r="B27" t="s">
        <v>102</v>
      </c>
      <c r="D27" t="s">
        <v>125</v>
      </c>
      <c r="E27" s="2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94000</v>
      </c>
      <c r="P27">
        <f>E27*O27</f>
        <v>94000</v>
      </c>
      <c r="Q27" s="13">
        <f>P27</f>
        <v>94000</v>
      </c>
      <c r="R27" s="13">
        <f>E27*Q27</f>
        <v>94000</v>
      </c>
      <c r="S27" t="s">
        <v>126</v>
      </c>
      <c r="U27" t="s">
        <v>86</v>
      </c>
    </row>
    <row r="28" spans="1:24" x14ac:dyDescent="0.35">
      <c r="A28" s="24"/>
      <c r="B28" t="s">
        <v>71</v>
      </c>
      <c r="E28" s="2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87</v>
      </c>
    </row>
    <row r="29" spans="1:24" x14ac:dyDescent="0.35">
      <c r="A29" s="24">
        <v>6</v>
      </c>
      <c r="B29" t="s">
        <v>103</v>
      </c>
      <c r="C29" t="s">
        <v>127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4">
        <v>6</v>
      </c>
      <c r="B30" t="s">
        <v>103</v>
      </c>
      <c r="C30" t="s">
        <v>128</v>
      </c>
      <c r="D30" t="s">
        <v>72</v>
      </c>
      <c r="E30" s="10">
        <f>(((R14/1000)*2)+2)*5</f>
        <v>189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14553</v>
      </c>
      <c r="Q30" s="13">
        <f>O30</f>
        <v>77</v>
      </c>
      <c r="R30" s="14">
        <f>Q30*E30</f>
        <v>14553</v>
      </c>
    </row>
    <row r="31" spans="1:24" x14ac:dyDescent="0.35">
      <c r="A31" s="2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4">
        <v>8</v>
      </c>
      <c r="B32" t="s">
        <v>20</v>
      </c>
      <c r="E32" s="24">
        <v>1</v>
      </c>
      <c r="G32" s="13">
        <v>35000</v>
      </c>
      <c r="H32">
        <f t="shared" si="0"/>
        <v>35000</v>
      </c>
      <c r="I32">
        <f>H32</f>
        <v>35000</v>
      </c>
      <c r="J32">
        <f>E32*I32</f>
        <v>35000</v>
      </c>
      <c r="K32" t="s">
        <v>26</v>
      </c>
      <c r="L32">
        <f>J32</f>
        <v>35000</v>
      </c>
      <c r="M32" t="s">
        <v>26</v>
      </c>
      <c r="N32">
        <f>L32</f>
        <v>35000</v>
      </c>
      <c r="O32" s="13">
        <f>50000</f>
        <v>50000</v>
      </c>
      <c r="P32">
        <f>E32*O32</f>
        <v>50000</v>
      </c>
      <c r="Q32" s="13">
        <f>P32</f>
        <v>50000</v>
      </c>
      <c r="R32" s="13">
        <f>E32*Q32</f>
        <v>50000</v>
      </c>
    </row>
    <row r="33" spans="1:21" x14ac:dyDescent="0.35">
      <c r="A33" s="24">
        <v>9</v>
      </c>
      <c r="B33" t="s">
        <v>105</v>
      </c>
      <c r="D33" t="s">
        <v>74</v>
      </c>
      <c r="E33" s="24">
        <f>E30/4</f>
        <v>47.25</v>
      </c>
      <c r="G33" s="15">
        <f>(E33*O30)+4000+1000</f>
        <v>8638.25</v>
      </c>
      <c r="H33" s="15">
        <f>G33</f>
        <v>8638.25</v>
      </c>
      <c r="I33" s="15">
        <f>H33</f>
        <v>8638.25</v>
      </c>
      <c r="J33" s="15">
        <f>I33</f>
        <v>8638.25</v>
      </c>
      <c r="K33" s="15" t="s">
        <v>26</v>
      </c>
      <c r="L33" s="15">
        <f>J33</f>
        <v>8638.25</v>
      </c>
      <c r="M33" s="15" t="s">
        <v>26</v>
      </c>
      <c r="N33" s="15">
        <f>L33</f>
        <v>8638.25</v>
      </c>
      <c r="O33" s="15">
        <f>J33</f>
        <v>8638.25</v>
      </c>
      <c r="P33" s="15">
        <f>O33</f>
        <v>8638.25</v>
      </c>
      <c r="Q33" s="14">
        <f>P33</f>
        <v>8638.25</v>
      </c>
      <c r="R33" s="14">
        <f>Q33</f>
        <v>8638.25</v>
      </c>
    </row>
    <row r="34" spans="1:21" x14ac:dyDescent="0.35">
      <c r="A34" s="24">
        <v>10</v>
      </c>
      <c r="B34" t="s">
        <v>106</v>
      </c>
      <c r="D34" s="14">
        <f>15.5*38*(24+2)</f>
        <v>15314</v>
      </c>
      <c r="E34" s="24">
        <v>1</v>
      </c>
      <c r="G34" s="15">
        <f>D34</f>
        <v>15314</v>
      </c>
      <c r="H34" s="15">
        <f t="shared" si="0"/>
        <v>15314</v>
      </c>
      <c r="I34" s="15">
        <f>H34</f>
        <v>15314</v>
      </c>
      <c r="J34" s="15">
        <f>E34*I34</f>
        <v>15314</v>
      </c>
      <c r="K34" s="15" t="s">
        <v>26</v>
      </c>
      <c r="L34" s="15">
        <f>J34</f>
        <v>15314</v>
      </c>
      <c r="M34" s="15" t="s">
        <v>26</v>
      </c>
      <c r="N34" s="15">
        <f>L34</f>
        <v>15314</v>
      </c>
      <c r="O34" s="15">
        <f>J34</f>
        <v>15314</v>
      </c>
      <c r="P34" s="15">
        <f>E34*O34</f>
        <v>15314</v>
      </c>
      <c r="Q34" s="14">
        <f>P34</f>
        <v>15314</v>
      </c>
      <c r="R34" s="14">
        <f>E34*Q34</f>
        <v>15314</v>
      </c>
      <c r="S34" t="s">
        <v>26</v>
      </c>
      <c r="U34" t="s">
        <v>75</v>
      </c>
    </row>
    <row r="35" spans="1:21" x14ac:dyDescent="0.35">
      <c r="A35" s="24">
        <v>11</v>
      </c>
      <c r="B35" t="s">
        <v>107</v>
      </c>
      <c r="E35" s="2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4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4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4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4">
        <v>12</v>
      </c>
      <c r="B39" t="s">
        <v>108</v>
      </c>
      <c r="C39" t="s">
        <v>121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4">
        <v>12</v>
      </c>
      <c r="B40" t="s">
        <v>108</v>
      </c>
      <c r="C40" t="s">
        <v>120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3">
        <v>13</v>
      </c>
      <c r="B41" s="8" t="s">
        <v>109</v>
      </c>
      <c r="D41" s="8" t="s">
        <v>119</v>
      </c>
      <c r="E41" s="24">
        <v>1</v>
      </c>
      <c r="F41" s="23"/>
      <c r="G41" s="8">
        <v>43245</v>
      </c>
      <c r="H41" s="8">
        <f t="shared" si="0"/>
        <v>43245</v>
      </c>
      <c r="I41" s="8"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8">
        <f>I41</f>
        <v>57016</v>
      </c>
      <c r="R41" s="1">
        <f>E41*Q41</f>
        <v>57016</v>
      </c>
      <c r="S41" s="8" t="s">
        <v>26</v>
      </c>
    </row>
    <row r="42" spans="1:21" s="8" customFormat="1" x14ac:dyDescent="0.35">
      <c r="A42" s="23">
        <v>14</v>
      </c>
      <c r="B42" s="8" t="s">
        <v>110</v>
      </c>
      <c r="D42" s="8" t="s">
        <v>119</v>
      </c>
      <c r="E42" s="23">
        <f>G3</f>
        <v>4</v>
      </c>
      <c r="F42" s="23"/>
      <c r="G42" s="8">
        <v>17880</v>
      </c>
      <c r="H42" s="8">
        <f t="shared" si="0"/>
        <v>71520</v>
      </c>
      <c r="I42" s="8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8">
        <f>I42</f>
        <v>40191</v>
      </c>
      <c r="R42" s="1">
        <f>E42*Q42</f>
        <v>160764</v>
      </c>
      <c r="S42" s="8" t="s">
        <v>26</v>
      </c>
    </row>
    <row r="43" spans="1:21" x14ac:dyDescent="0.35">
      <c r="A43" s="24">
        <v>17</v>
      </c>
      <c r="B43" t="s">
        <v>1</v>
      </c>
      <c r="C43" s="8" t="s">
        <v>36</v>
      </c>
      <c r="E43" s="2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5">
      <c r="A44" s="24">
        <v>18</v>
      </c>
      <c r="B44" t="s">
        <v>111</v>
      </c>
      <c r="C44">
        <f>1500+1500+1000+1000</f>
        <v>5000</v>
      </c>
      <c r="D44" t="s">
        <v>115</v>
      </c>
      <c r="E44" s="2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5">
      <c r="A45" s="24"/>
      <c r="B45" t="s">
        <v>70</v>
      </c>
      <c r="D45">
        <f>2000+1000+2000</f>
        <v>5000</v>
      </c>
      <c r="E45" s="2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5">
      <c r="A46" s="24">
        <v>19</v>
      </c>
      <c r="B46" t="s">
        <v>112</v>
      </c>
      <c r="E46" s="2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4"/>
      <c r="D47" t="s">
        <v>10</v>
      </c>
      <c r="H47" s="15">
        <f>SUM(H16:H46)</f>
        <v>558576.85</v>
      </c>
      <c r="J47" s="15">
        <f>SUM(J16:J46)</f>
        <v>701591.85</v>
      </c>
      <c r="L47" s="15">
        <f>SUM(L16:L46)</f>
        <v>497011.85</v>
      </c>
      <c r="N47" s="15">
        <f>SUM(N16:N46)</f>
        <v>651811.85</v>
      </c>
      <c r="P47" s="15">
        <f>SUM(P16:P46)</f>
        <v>625235.05000000005</v>
      </c>
      <c r="R47" s="14">
        <f>SUM(R16:R46)</f>
        <v>773250.05</v>
      </c>
    </row>
    <row r="48" spans="1:21" x14ac:dyDescent="0.35">
      <c r="A48" s="24">
        <v>20</v>
      </c>
      <c r="B48" t="s">
        <v>82</v>
      </c>
      <c r="D48" t="s">
        <v>83</v>
      </c>
      <c r="E48" s="2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5">
      <c r="A49" s="24">
        <v>21</v>
      </c>
      <c r="B49" t="s">
        <v>113</v>
      </c>
      <c r="E49" s="2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4">
        <v>22</v>
      </c>
      <c r="B50" t="s">
        <v>114</v>
      </c>
      <c r="E50" s="24">
        <v>1</v>
      </c>
      <c r="G50" s="15">
        <f>H47*5%</f>
        <v>27928.842499999999</v>
      </c>
      <c r="H50" s="15">
        <f>G50*E50</f>
        <v>27928.842499999999</v>
      </c>
      <c r="I50" s="15">
        <f>J47*5%</f>
        <v>35079.592499999999</v>
      </c>
      <c r="J50" s="15">
        <f>E50*I50</f>
        <v>35079.592499999999</v>
      </c>
      <c r="K50" s="15">
        <f>L47*5%</f>
        <v>24850.592499999999</v>
      </c>
      <c r="L50" s="15">
        <f>K50*E50</f>
        <v>24850.592499999999</v>
      </c>
      <c r="M50" s="15">
        <f>N47*5%</f>
        <v>32590.592499999999</v>
      </c>
      <c r="N50" s="15">
        <f>E50*M50</f>
        <v>32590.592499999999</v>
      </c>
      <c r="O50" s="15">
        <f>P47*5%</f>
        <v>31261.752500000002</v>
      </c>
      <c r="P50" s="15">
        <f>E50*O50</f>
        <v>31261.752500000002</v>
      </c>
      <c r="Q50" s="14">
        <f>R47*5%</f>
        <v>38662.502500000002</v>
      </c>
      <c r="R50" s="14">
        <f>E50*Q50</f>
        <v>38662.502500000002</v>
      </c>
    </row>
    <row r="51" spans="1:18" x14ac:dyDescent="0.35">
      <c r="D51" t="s">
        <v>10</v>
      </c>
      <c r="H51" s="15">
        <f>H47+H48+H49+H50</f>
        <v>646505.6925</v>
      </c>
      <c r="J51" s="15">
        <f>J47+J48+J49+J50</f>
        <v>796671.4425</v>
      </c>
      <c r="L51" s="15">
        <f>L47+L48+L49+L50</f>
        <v>581862.4425</v>
      </c>
      <c r="N51" s="15">
        <f>N47+N48+N49+N50</f>
        <v>744402.4425</v>
      </c>
      <c r="P51" s="15">
        <f>P47+P48+P49+P50</f>
        <v>716496.80249999999</v>
      </c>
      <c r="R51" s="14">
        <f>R47+R48+R49+R50</f>
        <v>871912.55249999999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766505.6925</v>
      </c>
      <c r="J53" s="15">
        <f>J52+J51</f>
        <v>916671.4425</v>
      </c>
      <c r="L53" s="15">
        <f>L52+L51</f>
        <v>701862.4425</v>
      </c>
      <c r="N53" s="15">
        <f>N52+N51</f>
        <v>864402.4425</v>
      </c>
      <c r="P53" s="15">
        <f>P52+P51</f>
        <v>836496.80249999999</v>
      </c>
      <c r="R53" s="14">
        <f>R52+R51</f>
        <v>991912.55249999999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</vt:lpstr>
      <vt:lpstr>bv</vt:lpstr>
      <vt:lpstr>RG-BV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2026-04-28T07:54:51Z</dcterms:modified>
</cp:coreProperties>
</file>