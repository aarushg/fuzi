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13D021C4-1FFB-4391-B2D1-BB5DF2D7C03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v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3" l="1"/>
  <c r="P52" i="3"/>
  <c r="N52" i="3"/>
  <c r="L52" i="3"/>
  <c r="J52" i="3"/>
  <c r="H52" i="3"/>
  <c r="H49" i="3"/>
  <c r="I49" i="3" s="1"/>
  <c r="I48" i="3"/>
  <c r="O48" i="3" s="1"/>
  <c r="Q48" i="3" s="1"/>
  <c r="E48" i="3"/>
  <c r="R46" i="3"/>
  <c r="P46" i="3"/>
  <c r="N46" i="3"/>
  <c r="L46" i="3"/>
  <c r="J46" i="3"/>
  <c r="H46" i="3"/>
  <c r="I45" i="3"/>
  <c r="J45" i="3" s="1"/>
  <c r="L45" i="3" s="1"/>
  <c r="N45" i="3" s="1"/>
  <c r="H45" i="3"/>
  <c r="D45" i="3"/>
  <c r="G44" i="3"/>
  <c r="O44" i="3" s="1"/>
  <c r="P44" i="3" s="1"/>
  <c r="C44" i="3"/>
  <c r="O43" i="3"/>
  <c r="I43" i="3"/>
  <c r="J43" i="3" s="1"/>
  <c r="L43" i="3" s="1"/>
  <c r="N43" i="3" s="1"/>
  <c r="H43" i="3"/>
  <c r="Q42" i="3"/>
  <c r="O42" i="3"/>
  <c r="M42" i="3"/>
  <c r="L42" i="3"/>
  <c r="K42" i="3"/>
  <c r="E42" i="3"/>
  <c r="Q41" i="3"/>
  <c r="R41" i="3" s="1"/>
  <c r="O41" i="3"/>
  <c r="P41" i="3" s="1"/>
  <c r="M41" i="3"/>
  <c r="N41" i="3" s="1"/>
  <c r="K41" i="3"/>
  <c r="L41" i="3" s="1"/>
  <c r="J41" i="3"/>
  <c r="H41" i="3"/>
  <c r="G40" i="3"/>
  <c r="R39" i="3"/>
  <c r="O39" i="3"/>
  <c r="P39" i="3" s="1"/>
  <c r="G39" i="3"/>
  <c r="Q39" i="3" s="1"/>
  <c r="G38" i="3"/>
  <c r="D38" i="3"/>
  <c r="G37" i="3"/>
  <c r="Q37" i="3" s="1"/>
  <c r="R37" i="3" s="1"/>
  <c r="D37" i="3"/>
  <c r="O36" i="3"/>
  <c r="P36" i="3" s="1"/>
  <c r="G36" i="3"/>
  <c r="Q36" i="3" s="1"/>
  <c r="R36" i="3" s="1"/>
  <c r="N35" i="3"/>
  <c r="G35" i="3"/>
  <c r="D34" i="3"/>
  <c r="G34" i="3" s="1"/>
  <c r="H34" i="3" s="1"/>
  <c r="I34" i="3" s="1"/>
  <c r="J34" i="3" s="1"/>
  <c r="L34" i="3" s="1"/>
  <c r="N34" i="3" s="1"/>
  <c r="G33" i="3"/>
  <c r="H33" i="3" s="1"/>
  <c r="I33" i="3" s="1"/>
  <c r="J33" i="3" s="1"/>
  <c r="H32" i="3"/>
  <c r="I32" i="3" s="1"/>
  <c r="J32" i="3" s="1"/>
  <c r="L32" i="3" s="1"/>
  <c r="N32" i="3" s="1"/>
  <c r="O32" i="3" s="1"/>
  <c r="P32" i="3" s="1"/>
  <c r="Q32" i="3" s="1"/>
  <c r="R32" i="3" s="1"/>
  <c r="I31" i="3"/>
  <c r="Q30" i="3"/>
  <c r="R30" i="3" s="1"/>
  <c r="E30" i="3"/>
  <c r="E33" i="3" s="1"/>
  <c r="I29" i="3"/>
  <c r="K29" i="3" s="1"/>
  <c r="M29" i="3" s="1"/>
  <c r="E29" i="3"/>
  <c r="P28" i="3"/>
  <c r="Q28" i="3" s="1"/>
  <c r="R28" i="3" s="1"/>
  <c r="I28" i="3"/>
  <c r="J28" i="3" s="1"/>
  <c r="L28" i="3" s="1"/>
  <c r="N28" i="3" s="1"/>
  <c r="H28" i="3"/>
  <c r="P27" i="3"/>
  <c r="Q27" i="3" s="1"/>
  <c r="R27" i="3" s="1"/>
  <c r="G27" i="3"/>
  <c r="H27" i="3" s="1"/>
  <c r="I27" i="3" s="1"/>
  <c r="M27" i="3" s="1"/>
  <c r="N27" i="3" s="1"/>
  <c r="O25" i="3"/>
  <c r="P25" i="3" s="1"/>
  <c r="G25" i="3"/>
  <c r="I25" i="3" s="1"/>
  <c r="J25" i="3" s="1"/>
  <c r="L25" i="3" s="1"/>
  <c r="N25" i="3" s="1"/>
  <c r="O24" i="3"/>
  <c r="Q24" i="3" s="1"/>
  <c r="R24" i="3" s="1"/>
  <c r="N24" i="3"/>
  <c r="L24" i="3"/>
  <c r="H24" i="3"/>
  <c r="G23" i="3"/>
  <c r="I23" i="3" s="1"/>
  <c r="J23" i="3" s="1"/>
  <c r="L23" i="3" s="1"/>
  <c r="N23" i="3" s="1"/>
  <c r="I22" i="3"/>
  <c r="O22" i="3" s="1"/>
  <c r="P22" i="3" s="1"/>
  <c r="H22" i="3"/>
  <c r="I21" i="3"/>
  <c r="J21" i="3" s="1"/>
  <c r="L21" i="3" s="1"/>
  <c r="N21" i="3" s="1"/>
  <c r="H21" i="3"/>
  <c r="J20" i="3"/>
  <c r="L20" i="3" s="1"/>
  <c r="N20" i="3" s="1"/>
  <c r="P20" i="3" s="1"/>
  <c r="R20" i="3" s="1"/>
  <c r="H20" i="3"/>
  <c r="Q19" i="3"/>
  <c r="R19" i="3" s="1"/>
  <c r="M19" i="3"/>
  <c r="N19" i="3" s="1"/>
  <c r="J19" i="3"/>
  <c r="H19" i="3"/>
  <c r="L19" i="3" s="1"/>
  <c r="Q18" i="3"/>
  <c r="M17" i="3"/>
  <c r="K17" i="3"/>
  <c r="G17" i="3"/>
  <c r="H17" i="3" s="1"/>
  <c r="P17" i="3" s="1"/>
  <c r="R17" i="3" s="1"/>
  <c r="E17" i="3"/>
  <c r="E18" i="3" s="1"/>
  <c r="O16" i="3"/>
  <c r="P16" i="3" s="1"/>
  <c r="G16" i="3"/>
  <c r="K16" i="3" s="1"/>
  <c r="L16" i="3" s="1"/>
  <c r="R14" i="3"/>
  <c r="D36" i="3" s="1"/>
  <c r="K10" i="3"/>
  <c r="K11" i="3" s="1"/>
  <c r="K12" i="3" s="1"/>
  <c r="J10" i="3"/>
  <c r="J9" i="3"/>
  <c r="J8" i="3"/>
  <c r="J7" i="3"/>
  <c r="J6" i="3"/>
  <c r="J5" i="3"/>
  <c r="J4" i="3"/>
  <c r="G26" i="3" s="1"/>
  <c r="Q26" i="3" s="1"/>
  <c r="R26" i="3" s="1"/>
  <c r="J3" i="3"/>
  <c r="J2" i="3"/>
  <c r="H23" i="3" l="1"/>
  <c r="P48" i="3"/>
  <c r="E16" i="3"/>
  <c r="I44" i="3"/>
  <c r="J44" i="3" s="1"/>
  <c r="H25" i="3"/>
  <c r="I37" i="3"/>
  <c r="J37" i="3" s="1"/>
  <c r="L37" i="3" s="1"/>
  <c r="N37" i="3" s="1"/>
  <c r="J22" i="3"/>
  <c r="L22" i="3" s="1"/>
  <c r="N22" i="3" s="1"/>
  <c r="Q25" i="3"/>
  <c r="R25" i="3" s="1"/>
  <c r="J30" i="3"/>
  <c r="L30" i="3"/>
  <c r="H36" i="3"/>
  <c r="H39" i="3"/>
  <c r="Q44" i="3"/>
  <c r="R44" i="3" s="1"/>
  <c r="K48" i="3"/>
  <c r="M48" i="3" s="1"/>
  <c r="O21" i="3"/>
  <c r="P21" i="3" s="1"/>
  <c r="O37" i="3"/>
  <c r="P37" i="3" s="1"/>
  <c r="J16" i="3"/>
  <c r="E31" i="3"/>
  <c r="I36" i="3"/>
  <c r="J36" i="3" s="1"/>
  <c r="L36" i="3" s="1"/>
  <c r="N36" i="3" s="1"/>
  <c r="I39" i="3"/>
  <c r="J39" i="3" s="1"/>
  <c r="L39" i="3" s="1"/>
  <c r="N39" i="3" s="1"/>
  <c r="O33" i="3"/>
  <c r="P33" i="3" s="1"/>
  <c r="Q33" i="3" s="1"/>
  <c r="R33" i="3" s="1"/>
  <c r="L33" i="3"/>
  <c r="N33" i="3" s="1"/>
  <c r="N18" i="3"/>
  <c r="L18" i="3"/>
  <c r="J18" i="3"/>
  <c r="N16" i="3"/>
  <c r="Q22" i="3"/>
  <c r="R22" i="3" s="1"/>
  <c r="N29" i="3"/>
  <c r="J29" i="3"/>
  <c r="L29" i="3"/>
  <c r="H35" i="3"/>
  <c r="I35" i="3"/>
  <c r="P43" i="3"/>
  <c r="Q43" i="3"/>
  <c r="R43" i="3" s="1"/>
  <c r="I17" i="3"/>
  <c r="J17" i="3" s="1"/>
  <c r="L17" i="3" s="1"/>
  <c r="N17" i="3" s="1"/>
  <c r="P24" i="3"/>
  <c r="I26" i="3"/>
  <c r="J26" i="3" s="1"/>
  <c r="J27" i="3"/>
  <c r="L27" i="3" s="1"/>
  <c r="H29" i="3"/>
  <c r="P29" i="3"/>
  <c r="O31" i="3"/>
  <c r="Q31" i="3" s="1"/>
  <c r="R31" i="3" s="1"/>
  <c r="K31" i="3"/>
  <c r="H40" i="3"/>
  <c r="O40" i="3"/>
  <c r="P40" i="3" s="1"/>
  <c r="I40" i="3"/>
  <c r="J40" i="3" s="1"/>
  <c r="L40" i="3" s="1"/>
  <c r="N40" i="3" s="1"/>
  <c r="Q40" i="3"/>
  <c r="R40" i="3" s="1"/>
  <c r="R29" i="3"/>
  <c r="J31" i="3"/>
  <c r="O34" i="3"/>
  <c r="P34" i="3" s="1"/>
  <c r="Q34" i="3" s="1"/>
  <c r="R34" i="3" s="1"/>
  <c r="H38" i="3"/>
  <c r="O38" i="3"/>
  <c r="P38" i="3" s="1"/>
  <c r="I38" i="3"/>
  <c r="J38" i="3" s="1"/>
  <c r="L38" i="3" s="1"/>
  <c r="N38" i="3" s="1"/>
  <c r="Q38" i="3"/>
  <c r="R38" i="3" s="1"/>
  <c r="H42" i="3"/>
  <c r="R42" i="3"/>
  <c r="N42" i="3"/>
  <c r="J42" i="3"/>
  <c r="O26" i="3"/>
  <c r="P26" i="3" s="1"/>
  <c r="H26" i="3"/>
  <c r="K26" i="3"/>
  <c r="L26" i="3" s="1"/>
  <c r="Q16" i="3"/>
  <c r="R16" i="3" s="1"/>
  <c r="M16" i="3"/>
  <c r="I16" i="3"/>
  <c r="H16" i="3"/>
  <c r="O19" i="3"/>
  <c r="P19" i="3" s="1"/>
  <c r="K19" i="3"/>
  <c r="M26" i="3"/>
  <c r="N26" i="3" s="1"/>
  <c r="P42" i="3"/>
  <c r="J49" i="3"/>
  <c r="K49" i="3"/>
  <c r="L49" i="3" s="1"/>
  <c r="M49" i="3" s="1"/>
  <c r="N49" i="3" s="1"/>
  <c r="O49" i="3" s="1"/>
  <c r="P49" i="3" s="1"/>
  <c r="Q49" i="3" s="1"/>
  <c r="R49" i="3" s="1"/>
  <c r="N30" i="3"/>
  <c r="H30" i="3"/>
  <c r="P30" i="3"/>
  <c r="H31" i="3"/>
  <c r="H37" i="3"/>
  <c r="H44" i="3"/>
  <c r="J48" i="3"/>
  <c r="N48" i="3"/>
  <c r="R48" i="3"/>
  <c r="O45" i="3"/>
  <c r="H48" i="3"/>
  <c r="L48" i="3"/>
  <c r="Q21" i="3" l="1"/>
  <c r="R21" i="3" s="1"/>
  <c r="L31" i="3"/>
  <c r="M31" i="3"/>
  <c r="N31" i="3" s="1"/>
  <c r="N47" i="3" s="1"/>
  <c r="O35" i="3"/>
  <c r="J35" i="3"/>
  <c r="J47" i="3" s="1"/>
  <c r="L47" i="3"/>
  <c r="Q45" i="3"/>
  <c r="R45" i="3" s="1"/>
  <c r="P45" i="3"/>
  <c r="H47" i="3"/>
  <c r="P31" i="3"/>
  <c r="M50" i="3" l="1"/>
  <c r="N50" i="3" s="1"/>
  <c r="N51" i="3" s="1"/>
  <c r="N53" i="3" s="1"/>
  <c r="I50" i="3"/>
  <c r="J50" i="3" s="1"/>
  <c r="J51" i="3" s="1"/>
  <c r="J53" i="3" s="1"/>
  <c r="G50" i="3"/>
  <c r="H50" i="3" s="1"/>
  <c r="H51" i="3" s="1"/>
  <c r="H53" i="3" s="1"/>
  <c r="K50" i="3"/>
  <c r="L50" i="3" s="1"/>
  <c r="L51" i="3" s="1"/>
  <c r="L53" i="3" s="1"/>
  <c r="P35" i="3"/>
  <c r="P47" i="3" s="1"/>
  <c r="Q35" i="3"/>
  <c r="R35" i="3" s="1"/>
  <c r="R47" i="3" s="1"/>
  <c r="Q50" i="3" l="1"/>
  <c r="R50" i="3" s="1"/>
  <c r="R51" i="3"/>
  <c r="R53" i="3" s="1"/>
  <c r="O50" i="3"/>
  <c r="P50" i="3" s="1"/>
  <c r="P51" i="3" s="1"/>
  <c r="P53" i="3" s="1"/>
</calcChain>
</file>

<file path=xl/sharedStrings.xml><?xml version="1.0" encoding="utf-8"?>
<sst xmlns="http://schemas.openxmlformats.org/spreadsheetml/2006/main" count="189" uniqueCount="129">
  <si>
    <t>LOP/COP</t>
  </si>
  <si>
    <t>OTHER</t>
  </si>
  <si>
    <t>OUR MARGIN</t>
  </si>
  <si>
    <t>FINAL OFFER</t>
  </si>
  <si>
    <t>RATES TO BE QUOTED</t>
  </si>
  <si>
    <t>QTY</t>
  </si>
  <si>
    <t>G+2</t>
  </si>
  <si>
    <t>G+3</t>
  </si>
  <si>
    <t>G+4</t>
  </si>
  <si>
    <t>G+5</t>
  </si>
  <si>
    <t>TOTAL</t>
  </si>
  <si>
    <t>MS Auto door</t>
  </si>
  <si>
    <t>SS Auto Door</t>
  </si>
  <si>
    <t>MS Manual door</t>
  </si>
  <si>
    <t>SS Manual Door</t>
  </si>
  <si>
    <t>MS Gearless Auto Door</t>
  </si>
  <si>
    <t>SSGearless Auto Door</t>
  </si>
  <si>
    <t>Unit</t>
  </si>
  <si>
    <t>Item</t>
  </si>
  <si>
    <t>S.No.</t>
  </si>
  <si>
    <t>Geared/Gearless Safety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</si>
  <si>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</si>
  <si>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</si>
  <si>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</si>
  <si>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</si>
  <si>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</si>
  <si>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</si>
  <si>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</si>
  <si>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</si>
  <si>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</si>
  <si>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ss</t>
  </si>
  <si>
    <t>co</t>
  </si>
  <si>
    <t>sv</t>
  </si>
  <si>
    <t>pvc</t>
  </si>
  <si>
    <t>granite</t>
  </si>
  <si>
    <t>gearless</t>
  </si>
  <si>
    <t>&amp; channel</t>
  </si>
  <si>
    <t>ms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</si>
  <si>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</si>
  <si>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</si>
  <si>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</si>
  <si>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</si>
  <si>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</si>
  <si>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</si>
  <si>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</si>
  <si>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</si>
  <si>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</si>
  <si>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</si>
  <si>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</si>
  <si>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</si>
  <si>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</si>
  <si>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</si>
  <si>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</si>
  <si>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</si>
  <si>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upto 10000</t>
  </si>
  <si>
    <t>upto 12500</t>
  </si>
  <si>
    <t>upto 15000</t>
  </si>
  <si>
    <t>upto 17500</t>
  </si>
  <si>
    <t>upto 20000</t>
  </si>
  <si>
    <t>stops</t>
  </si>
  <si>
    <t>travel</t>
  </si>
  <si>
    <t>Guiderail QTY</t>
  </si>
  <si>
    <t>GB(Back Counter)</t>
  </si>
  <si>
    <t>95per kg</t>
  </si>
  <si>
    <t>Car+Counter bracket weight /2</t>
  </si>
  <si>
    <t xml:space="preserve">Bracket </t>
  </si>
  <si>
    <t>95 per kg</t>
  </si>
  <si>
    <t>Comb (Side Counter300mm) angle</t>
  </si>
  <si>
    <t>width upto 1800</t>
  </si>
  <si>
    <t>ss handrail+fan/blower</t>
  </si>
  <si>
    <t>loading &amp; Unloading</t>
  </si>
  <si>
    <t>Motor Hosting</t>
  </si>
  <si>
    <t>rate+2</t>
  </si>
  <si>
    <t>flat 12 core,.7mm</t>
  </si>
  <si>
    <t>4000+rope+sos&amp;clip</t>
  </si>
  <si>
    <t>1weight will be 38 kg</t>
  </si>
  <si>
    <t>limit switch, 6 core,.5mm</t>
  </si>
  <si>
    <t>lop,cop,car top 12 core,.5mm</t>
  </si>
  <si>
    <t>lock,lop,firman alaram, car top,2core,.5mm</t>
  </si>
  <si>
    <t>in case of Machine room back counter and geared only no Channel is required</t>
  </si>
  <si>
    <t>Cabin Packing Charges</t>
  </si>
  <si>
    <t>rate+4</t>
  </si>
  <si>
    <t>Installation local 10000</t>
  </si>
  <si>
    <t>outstation 12500</t>
  </si>
  <si>
    <t>Stops</t>
  </si>
  <si>
    <t>rate upto 8 stops than 6000 extra upto 16 floors</t>
  </si>
  <si>
    <t>geared motor upto 30 mtr&amp; gearless upto 60 mtr</t>
  </si>
  <si>
    <t>when no stair 2500 otherwise 2000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</si>
  <si>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</si>
  <si>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</si>
  <si>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</si>
  <si>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</si>
  <si>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</si>
  <si>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</si>
  <si>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</si>
  <si>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</si>
  <si>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</si>
  <si>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</si>
  <si>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</si>
  <si>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</si>
  <si>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Controlller with Drive +DBR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</si>
  <si>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</si>
  <si>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</si>
  <si>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</si>
  <si>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</si>
  <si>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</si>
  <si>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</si>
  <si>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</si>
  <si>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</si>
  <si>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</si>
  <si>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</si>
  <si>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</si>
  <si>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</si>
  <si>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</si>
  <si>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</si>
  <si>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(outstation 10000)</t>
  </si>
  <si>
    <t>Geared</t>
  </si>
  <si>
    <t>Cabin inward Transport &amp; local Freight</t>
  </si>
  <si>
    <t>full serail link</t>
  </si>
  <si>
    <t>.75mm for break 2core .5mm</t>
  </si>
  <si>
    <t>2.5mm, flexable, motor</t>
  </si>
  <si>
    <t xml:space="preserve">10hp </t>
  </si>
  <si>
    <t>srt125,13mm,4rope</t>
  </si>
  <si>
    <t>9mm &amp; 16mm</t>
  </si>
  <si>
    <t>rope wala</t>
  </si>
  <si>
    <t>15hp openloop</t>
  </si>
  <si>
    <t>10hp closeloop</t>
  </si>
  <si>
    <t>upto 900mm</t>
  </si>
  <si>
    <t>seg 30,8mm,7rope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</si>
</sst>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2" borderId="0" xfId="0" applyNumberFormat="1" applyFill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0" fillId="0" borderId="0" xfId="0" applyNumberFormat="1"/>
    <xf numFmtId="0" fontId="5" fillId="2" borderId="0" xfId="0" applyFont="1" applyFill="1"/>
    <xf numFmtId="0" fontId="4" fillId="2" borderId="0" xfId="0" applyFont="1" applyFill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4"/>
  <sheetViews>
    <sheetView tabSelected="1" topLeftCell="C35" workbookViewId="0">
      <selection activeCell="R52" sqref="R52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4" customWidth="1"/>
    <col min="6" max="6" width="6.77734375" style="4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style="13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3" t="s">
        <v>0</v>
      </c>
      <c r="I1" s="3" t="s">
        <v>84</v>
      </c>
      <c r="J1" s="3" t="s">
        <v>96</v>
      </c>
      <c r="K1" t="s">
        <v>118</v>
      </c>
      <c r="Q1" s="2" t="s">
        <v>40</v>
      </c>
      <c r="R1" s="2">
        <v>1600</v>
      </c>
      <c r="S1" t="s">
        <v>26</v>
      </c>
      <c r="T1" s="3" t="s">
        <v>59</v>
      </c>
      <c r="U1" s="3" t="s">
        <v>60</v>
      </c>
      <c r="V1" s="3" t="s">
        <v>61</v>
      </c>
    </row>
    <row r="2" spans="1:24" x14ac:dyDescent="0.3">
      <c r="B2" t="s">
        <v>88</v>
      </c>
      <c r="E2" s="4" t="s">
        <v>26</v>
      </c>
      <c r="G2" s="4">
        <v>15</v>
      </c>
      <c r="H2" s="3" t="s">
        <v>21</v>
      </c>
      <c r="I2" s="6">
        <v>2</v>
      </c>
      <c r="J2" s="3">
        <f>7500+500+1550+2450+2000</f>
        <v>14000</v>
      </c>
      <c r="Q2" s="2" t="s">
        <v>41</v>
      </c>
      <c r="R2" s="2">
        <v>0</v>
      </c>
      <c r="T2" s="6">
        <v>2</v>
      </c>
      <c r="U2" s="3" t="s">
        <v>54</v>
      </c>
      <c r="V2" s="6">
        <v>4</v>
      </c>
    </row>
    <row r="3" spans="1:24" x14ac:dyDescent="0.3">
      <c r="B3" t="s">
        <v>84</v>
      </c>
      <c r="E3" s="4" t="s">
        <v>26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Q3" s="2" t="s">
        <v>42</v>
      </c>
      <c r="R3" s="2">
        <v>3800</v>
      </c>
      <c r="T3" s="6">
        <v>3</v>
      </c>
      <c r="U3" s="3" t="s">
        <v>55</v>
      </c>
      <c r="V3" s="6">
        <v>5</v>
      </c>
    </row>
    <row r="4" spans="1:24" x14ac:dyDescent="0.3">
      <c r="B4" t="s">
        <v>89</v>
      </c>
      <c r="E4" s="4">
        <v>0.65</v>
      </c>
      <c r="G4" s="4">
        <v>1</v>
      </c>
      <c r="H4" s="3" t="s">
        <v>7</v>
      </c>
      <c r="I4" s="6">
        <v>4</v>
      </c>
      <c r="J4" s="3">
        <f>8200+1000+1550+2450+1850*2+2000</f>
        <v>18900</v>
      </c>
      <c r="K4">
        <v>25000</v>
      </c>
      <c r="L4" t="s">
        <v>21</v>
      </c>
      <c r="Q4" s="2" t="s">
        <v>43</v>
      </c>
      <c r="R4" s="2">
        <v>3800</v>
      </c>
      <c r="T4" s="6">
        <v>3</v>
      </c>
      <c r="U4" s="3" t="s">
        <v>56</v>
      </c>
      <c r="V4" s="6">
        <v>6</v>
      </c>
    </row>
    <row r="5" spans="1:24" x14ac:dyDescent="0.3">
      <c r="B5" t="s">
        <v>90</v>
      </c>
      <c r="E5" s="4" t="s">
        <v>29</v>
      </c>
      <c r="G5" t="s">
        <v>35</v>
      </c>
      <c r="H5" s="3" t="s">
        <v>8</v>
      </c>
      <c r="I5" s="6">
        <v>5</v>
      </c>
      <c r="J5" s="3">
        <f>8550+1250+1550+2450+1850*3+2000</f>
        <v>21350</v>
      </c>
      <c r="Q5" s="2" t="s">
        <v>44</v>
      </c>
      <c r="R5" s="2">
        <v>3900</v>
      </c>
      <c r="T5" s="6">
        <v>4</v>
      </c>
      <c r="U5" s="3" t="s">
        <v>57</v>
      </c>
      <c r="V5" s="6">
        <v>7</v>
      </c>
    </row>
    <row r="6" spans="1:24" x14ac:dyDescent="0.3">
      <c r="B6" t="s">
        <v>91</v>
      </c>
      <c r="E6" s="4" t="s">
        <v>37</v>
      </c>
      <c r="G6" t="s">
        <v>30</v>
      </c>
      <c r="H6" s="3" t="s">
        <v>9</v>
      </c>
      <c r="I6" s="6">
        <v>6</v>
      </c>
      <c r="J6" s="3">
        <f>8900+1500+1550+2450+1850*4+2000</f>
        <v>23800</v>
      </c>
      <c r="Q6" s="2" t="s">
        <v>45</v>
      </c>
      <c r="R6" s="2">
        <v>0</v>
      </c>
      <c r="T6" s="6">
        <v>4</v>
      </c>
      <c r="U6" s="3" t="s">
        <v>58</v>
      </c>
      <c r="V6" s="6">
        <v>8</v>
      </c>
    </row>
    <row r="7" spans="1:24" x14ac:dyDescent="0.3">
      <c r="B7" t="s">
        <v>92</v>
      </c>
      <c r="E7" s="4" t="s">
        <v>37</v>
      </c>
      <c r="G7" t="s">
        <v>30</v>
      </c>
      <c r="H7" s="3" t="s">
        <v>22</v>
      </c>
      <c r="I7" s="6">
        <v>7</v>
      </c>
      <c r="J7" s="3">
        <f>9250+1750+1550+2450+1850*5+2000</f>
        <v>26250</v>
      </c>
      <c r="Q7" s="2" t="s">
        <v>46</v>
      </c>
      <c r="R7" s="2">
        <v>0</v>
      </c>
    </row>
    <row r="8" spans="1:24" x14ac:dyDescent="0.3">
      <c r="B8" t="s">
        <v>93</v>
      </c>
      <c r="E8" s="4" t="s">
        <v>31</v>
      </c>
      <c r="G8" t="s">
        <v>32</v>
      </c>
      <c r="H8" s="3" t="s">
        <v>23</v>
      </c>
      <c r="I8" s="6">
        <v>8</v>
      </c>
      <c r="J8" s="3">
        <f>9600+2000+1550+2450+1850*6+2000</f>
        <v>28700</v>
      </c>
      <c r="Q8" s="2" t="s">
        <v>47</v>
      </c>
      <c r="R8" s="2">
        <v>0</v>
      </c>
      <c r="T8" s="4" t="s">
        <v>26</v>
      </c>
      <c r="V8" s="4"/>
    </row>
    <row r="9" spans="1:24" x14ac:dyDescent="0.3">
      <c r="B9" t="s">
        <v>94</v>
      </c>
      <c r="D9" t="s">
        <v>26</v>
      </c>
      <c r="E9" s="4" t="s">
        <v>28</v>
      </c>
      <c r="G9">
        <v>700</v>
      </c>
      <c r="H9" s="3" t="s">
        <v>24</v>
      </c>
      <c r="I9" s="6">
        <v>9</v>
      </c>
      <c r="J9" s="3">
        <f>9950+2250+1550+2450+1850*7+2000</f>
        <v>31150</v>
      </c>
      <c r="Q9" s="2" t="s">
        <v>48</v>
      </c>
      <c r="R9" s="2">
        <v>0</v>
      </c>
      <c r="T9" s="7" t="s">
        <v>26</v>
      </c>
      <c r="V9" s="4"/>
    </row>
    <row r="10" spans="1:24" x14ac:dyDescent="0.3">
      <c r="B10" t="s">
        <v>95</v>
      </c>
      <c r="D10" t="s">
        <v>26</v>
      </c>
      <c r="E10" s="4" t="s">
        <v>33</v>
      </c>
      <c r="G10" t="s">
        <v>34</v>
      </c>
      <c r="H10" s="3" t="s">
        <v>25</v>
      </c>
      <c r="I10" s="6">
        <v>10</v>
      </c>
      <c r="J10" s="3">
        <f>10300+2500+1550+2450+1850*8+2000</f>
        <v>33600</v>
      </c>
      <c r="K10" s="7">
        <f>54/3.33</f>
        <v>16.216216216216218</v>
      </c>
      <c r="Q10" s="2" t="s">
        <v>49</v>
      </c>
      <c r="R10" s="2">
        <v>0</v>
      </c>
      <c r="V10" s="4"/>
    </row>
    <row r="11" spans="1:24" x14ac:dyDescent="0.3">
      <c r="D11" t="s">
        <v>26</v>
      </c>
      <c r="K11" s="7">
        <f>K10+2</f>
        <v>18.216216216216218</v>
      </c>
      <c r="Q11" s="2" t="s">
        <v>50</v>
      </c>
      <c r="R11" s="2">
        <v>0</v>
      </c>
      <c r="V11" s="4"/>
    </row>
    <row r="12" spans="1:24" x14ac:dyDescent="0.3">
      <c r="K12" s="7">
        <f>K11*5</f>
        <v>91.081081081081095</v>
      </c>
      <c r="Q12" s="2" t="s">
        <v>51</v>
      </c>
      <c r="R12" s="2">
        <v>0</v>
      </c>
      <c r="V12" s="4"/>
    </row>
    <row r="13" spans="1:24" ht="15" thickBot="1" x14ac:dyDescent="0.35">
      <c r="K13" s="7"/>
      <c r="Q13" s="2" t="s">
        <v>52</v>
      </c>
      <c r="R13" s="2">
        <v>4800</v>
      </c>
      <c r="V13" s="4"/>
    </row>
    <row r="14" spans="1:24" ht="15" thickBot="1" x14ac:dyDescent="0.35">
      <c r="K14" s="22" t="s">
        <v>116</v>
      </c>
      <c r="L14" s="23"/>
      <c r="M14" s="22" t="s">
        <v>116</v>
      </c>
      <c r="N14" s="24"/>
      <c r="Q14" s="2" t="s">
        <v>53</v>
      </c>
      <c r="R14" s="2">
        <f>SUM(R1:R13)</f>
        <v>17900</v>
      </c>
      <c r="V14" s="4"/>
    </row>
    <row r="15" spans="1:24" s="8" customFormat="1" x14ac:dyDescent="0.3">
      <c r="A15" s="8" t="s">
        <v>19</v>
      </c>
      <c r="B15" s="8" t="s">
        <v>18</v>
      </c>
      <c r="D15" s="8" t="s">
        <v>17</v>
      </c>
      <c r="E15" s="9" t="s">
        <v>5</v>
      </c>
      <c r="F15" s="9" t="s">
        <v>39</v>
      </c>
      <c r="G15" s="25" t="s">
        <v>11</v>
      </c>
      <c r="H15" s="25"/>
      <c r="I15" s="25" t="s">
        <v>12</v>
      </c>
      <c r="J15" s="25"/>
      <c r="K15" s="25" t="s">
        <v>13</v>
      </c>
      <c r="L15" s="25"/>
      <c r="M15" s="25" t="s">
        <v>14</v>
      </c>
      <c r="N15" s="25"/>
      <c r="O15" s="25" t="s">
        <v>15</v>
      </c>
      <c r="P15" s="25"/>
      <c r="Q15" s="27" t="s">
        <v>16</v>
      </c>
      <c r="R15" s="27"/>
      <c r="V15" s="9"/>
      <c r="W15" s="25"/>
      <c r="X15" s="25"/>
    </row>
    <row r="16" spans="1:24" x14ac:dyDescent="0.3">
      <c r="A16" s="4">
        <v>1</v>
      </c>
      <c r="B16" t="s">
        <v>97</v>
      </c>
      <c r="C16" t="s">
        <v>123</v>
      </c>
      <c r="D16" t="s">
        <v>38</v>
      </c>
      <c r="E16" s="12">
        <f>(R14/5000)*2</f>
        <v>7.16</v>
      </c>
      <c r="F16" s="12">
        <v>8</v>
      </c>
      <c r="G16" s="13">
        <f>3500+4500+200</f>
        <v>8200</v>
      </c>
      <c r="H16" s="15">
        <f>G16*F16</f>
        <v>65600</v>
      </c>
      <c r="I16">
        <f>G16</f>
        <v>8200</v>
      </c>
      <c r="J16" s="15">
        <f>F16*G16</f>
        <v>65600</v>
      </c>
      <c r="K16">
        <f>G16</f>
        <v>8200</v>
      </c>
      <c r="L16" s="15">
        <f>K16*F16</f>
        <v>65600</v>
      </c>
      <c r="M16">
        <f>G16</f>
        <v>8200</v>
      </c>
      <c r="N16" s="15">
        <f>L16</f>
        <v>65600</v>
      </c>
      <c r="O16">
        <f>G16</f>
        <v>8200</v>
      </c>
      <c r="P16" s="15">
        <f>F16*O16</f>
        <v>65600</v>
      </c>
      <c r="Q16" s="13">
        <f>G16</f>
        <v>8200</v>
      </c>
      <c r="R16" s="14">
        <f>F16*Q16</f>
        <v>65600</v>
      </c>
      <c r="V16" s="4"/>
    </row>
    <row r="17" spans="1:24" x14ac:dyDescent="0.3">
      <c r="A17" s="4">
        <v>2</v>
      </c>
      <c r="B17" t="s">
        <v>65</v>
      </c>
      <c r="C17" t="s">
        <v>63</v>
      </c>
      <c r="D17" t="s">
        <v>62</v>
      </c>
      <c r="E17" s="12">
        <f>((R14-900)/2000)+2</f>
        <v>10.5</v>
      </c>
      <c r="F17" s="5">
        <v>11</v>
      </c>
      <c r="G17" s="20">
        <f>1550+400</f>
        <v>1950</v>
      </c>
      <c r="H17" s="15">
        <f>G17*F17</f>
        <v>21450</v>
      </c>
      <c r="I17">
        <f>G17</f>
        <v>1950</v>
      </c>
      <c r="J17" s="15">
        <f>I17*F17</f>
        <v>21450</v>
      </c>
      <c r="K17">
        <f>1800*G3</f>
        <v>7200</v>
      </c>
      <c r="L17" s="15">
        <f>J17</f>
        <v>21450</v>
      </c>
      <c r="M17">
        <f>1800*G3</f>
        <v>7200</v>
      </c>
      <c r="N17" s="15">
        <f>L17</f>
        <v>21450</v>
      </c>
      <c r="O17">
        <v>0</v>
      </c>
      <c r="P17" s="15">
        <f>H17</f>
        <v>21450</v>
      </c>
      <c r="Q17" s="13">
        <v>0</v>
      </c>
      <c r="R17" s="14">
        <f>P17</f>
        <v>21450</v>
      </c>
      <c r="T17" t="s">
        <v>64</v>
      </c>
      <c r="V17" s="4"/>
    </row>
    <row r="18" spans="1:24" x14ac:dyDescent="0.3">
      <c r="A18" s="4"/>
      <c r="B18" t="s">
        <v>65</v>
      </c>
      <c r="C18" t="s">
        <v>66</v>
      </c>
      <c r="D18" t="s">
        <v>67</v>
      </c>
      <c r="E18" s="12">
        <f>E17</f>
        <v>10.5</v>
      </c>
      <c r="F18" s="5">
        <v>11</v>
      </c>
      <c r="G18" s="17">
        <v>0</v>
      </c>
      <c r="H18" s="15">
        <v>0</v>
      </c>
      <c r="I18">
        <v>0</v>
      </c>
      <c r="J18">
        <f>E18*I18</f>
        <v>0</v>
      </c>
      <c r="K18">
        <v>0</v>
      </c>
      <c r="L18">
        <f>K18*E18</f>
        <v>0</v>
      </c>
      <c r="M18">
        <v>0</v>
      </c>
      <c r="N18">
        <f>E18*M18</f>
        <v>0</v>
      </c>
      <c r="O18" s="16" t="s">
        <v>26</v>
      </c>
      <c r="P18" s="15" t="s">
        <v>26</v>
      </c>
      <c r="Q18" s="13" t="str">
        <f>O18</f>
        <v xml:space="preserve"> </v>
      </c>
      <c r="R18" s="14" t="s">
        <v>26</v>
      </c>
      <c r="T18" t="s">
        <v>68</v>
      </c>
      <c r="V18" s="4"/>
    </row>
    <row r="19" spans="1:24" x14ac:dyDescent="0.3">
      <c r="A19" s="4">
        <v>3</v>
      </c>
      <c r="B19" t="s">
        <v>98</v>
      </c>
      <c r="C19" t="s">
        <v>69</v>
      </c>
      <c r="E19" s="4">
        <v>1</v>
      </c>
      <c r="G19" s="13">
        <v>85000</v>
      </c>
      <c r="H19">
        <f t="shared" ref="H19:H46" si="0">G19*E19</f>
        <v>85000</v>
      </c>
      <c r="I19" s="13">
        <v>110000</v>
      </c>
      <c r="J19">
        <f>E19*I19</f>
        <v>110000</v>
      </c>
      <c r="K19">
        <f>H19</f>
        <v>85000</v>
      </c>
      <c r="L19">
        <f>H19</f>
        <v>85000</v>
      </c>
      <c r="M19">
        <f>I19</f>
        <v>110000</v>
      </c>
      <c r="N19">
        <f>E19*M19</f>
        <v>110000</v>
      </c>
      <c r="O19">
        <f>H19</f>
        <v>85000</v>
      </c>
      <c r="P19">
        <f>E19*O19</f>
        <v>85000</v>
      </c>
      <c r="Q19" s="13">
        <f>I19</f>
        <v>110000</v>
      </c>
      <c r="R19" s="13">
        <f>E19*Q19</f>
        <v>110000</v>
      </c>
      <c r="S19" t="s">
        <v>26</v>
      </c>
      <c r="V19" s="4"/>
    </row>
    <row r="20" spans="1:24" x14ac:dyDescent="0.3">
      <c r="A20" s="4" t="s">
        <v>26</v>
      </c>
      <c r="B20" t="s">
        <v>99</v>
      </c>
      <c r="D20" t="s">
        <v>124</v>
      </c>
      <c r="E20" s="4">
        <v>1</v>
      </c>
      <c r="G20">
        <v>13000</v>
      </c>
      <c r="H20">
        <f>G20*E20</f>
        <v>13000</v>
      </c>
      <c r="I20" t="s">
        <v>26</v>
      </c>
      <c r="J20">
        <f>H20</f>
        <v>13000</v>
      </c>
      <c r="K20" t="s">
        <v>26</v>
      </c>
      <c r="L20">
        <f>J20</f>
        <v>13000</v>
      </c>
      <c r="M20" t="s">
        <v>26</v>
      </c>
      <c r="N20">
        <f>L20</f>
        <v>13000</v>
      </c>
      <c r="O20" t="s">
        <v>26</v>
      </c>
      <c r="P20">
        <f>N20</f>
        <v>13000</v>
      </c>
      <c r="Q20" s="13" t="s">
        <v>26</v>
      </c>
      <c r="R20" s="13">
        <f>P20</f>
        <v>13000</v>
      </c>
    </row>
    <row r="21" spans="1:24" x14ac:dyDescent="0.3">
      <c r="A21" s="4"/>
      <c r="B21" t="s">
        <v>80</v>
      </c>
      <c r="E21" s="4">
        <v>1</v>
      </c>
      <c r="G21" s="13">
        <v>3500</v>
      </c>
      <c r="H21">
        <f>G21*E21</f>
        <v>3500</v>
      </c>
      <c r="I21">
        <f>G21</f>
        <v>3500</v>
      </c>
      <c r="J21">
        <f>I21*E21</f>
        <v>3500</v>
      </c>
      <c r="L21">
        <f>J21</f>
        <v>3500</v>
      </c>
      <c r="N21">
        <f>L21</f>
        <v>3500</v>
      </c>
      <c r="O21">
        <f>I21</f>
        <v>3500</v>
      </c>
      <c r="P21">
        <f>O21*E21</f>
        <v>3500</v>
      </c>
      <c r="Q21" s="13">
        <f>O21</f>
        <v>3500</v>
      </c>
      <c r="R21" s="13">
        <f>Q21*E21</f>
        <v>3500</v>
      </c>
    </row>
    <row r="22" spans="1:24" x14ac:dyDescent="0.3">
      <c r="A22" s="4"/>
      <c r="B22" t="s">
        <v>117</v>
      </c>
      <c r="E22" s="4">
        <v>1</v>
      </c>
      <c r="G22" s="13">
        <v>6000</v>
      </c>
      <c r="H22">
        <f>G22*E22</f>
        <v>6000</v>
      </c>
      <c r="I22">
        <f>G22</f>
        <v>6000</v>
      </c>
      <c r="J22">
        <f>I22*E22</f>
        <v>6000</v>
      </c>
      <c r="L22">
        <f>J22</f>
        <v>6000</v>
      </c>
      <c r="N22">
        <f>L22</f>
        <v>6000</v>
      </c>
      <c r="O22">
        <f>I22</f>
        <v>6000</v>
      </c>
      <c r="P22">
        <f>O22*E22</f>
        <v>6000</v>
      </c>
      <c r="Q22" s="13">
        <f>O22</f>
        <v>6000</v>
      </c>
      <c r="R22" s="13">
        <f>Q22*E22</f>
        <v>6000</v>
      </c>
    </row>
    <row r="23" spans="1:24" x14ac:dyDescent="0.3">
      <c r="A23" s="4">
        <v>4</v>
      </c>
      <c r="B23" t="s">
        <v>100</v>
      </c>
      <c r="D23" t="s">
        <v>125</v>
      </c>
      <c r="E23" s="4">
        <v>1</v>
      </c>
      <c r="G23" s="13">
        <f>62500+1500</f>
        <v>64000</v>
      </c>
      <c r="H23">
        <f t="shared" si="0"/>
        <v>64000</v>
      </c>
      <c r="I23">
        <f>G23</f>
        <v>64000</v>
      </c>
      <c r="J23">
        <f>E23*I23</f>
        <v>64000</v>
      </c>
      <c r="K23" t="s">
        <v>26</v>
      </c>
      <c r="L23">
        <f>J23</f>
        <v>64000</v>
      </c>
      <c r="M23" t="s">
        <v>26</v>
      </c>
      <c r="N23">
        <f>L23</f>
        <v>64000</v>
      </c>
      <c r="O23">
        <v>0</v>
      </c>
      <c r="P23">
        <v>0</v>
      </c>
      <c r="Q23" s="13">
        <v>0</v>
      </c>
      <c r="R23" s="13">
        <v>0</v>
      </c>
      <c r="T23" s="26" t="s">
        <v>85</v>
      </c>
      <c r="U23" s="26"/>
      <c r="V23" s="26"/>
      <c r="W23" s="26"/>
      <c r="X23" s="26"/>
    </row>
    <row r="24" spans="1:24" x14ac:dyDescent="0.3">
      <c r="A24" s="4">
        <v>4</v>
      </c>
      <c r="B24" t="s">
        <v>101</v>
      </c>
      <c r="D24" t="s">
        <v>126</v>
      </c>
      <c r="E24" s="4">
        <v>1</v>
      </c>
      <c r="G24">
        <v>0</v>
      </c>
      <c r="H24">
        <f t="shared" si="0"/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 s="13">
        <f>72500+1500+6800+4200</f>
        <v>85000</v>
      </c>
      <c r="P24">
        <f>E24*O24</f>
        <v>85000</v>
      </c>
      <c r="Q24" s="13">
        <f>O24</f>
        <v>85000</v>
      </c>
      <c r="R24" s="13">
        <f>E24*Q24</f>
        <v>85000</v>
      </c>
      <c r="T24" s="26" t="s">
        <v>85</v>
      </c>
      <c r="U24" s="26"/>
      <c r="V24" s="26"/>
      <c r="W24" s="26"/>
      <c r="X24" s="26"/>
    </row>
    <row r="25" spans="1:24" x14ac:dyDescent="0.3">
      <c r="A25" s="4">
        <v>5</v>
      </c>
      <c r="B25" t="s">
        <v>27</v>
      </c>
      <c r="E25" s="4">
        <v>1</v>
      </c>
      <c r="G25" s="13">
        <f>26000+500</f>
        <v>26500</v>
      </c>
      <c r="H25">
        <f t="shared" si="0"/>
        <v>26500</v>
      </c>
      <c r="I25">
        <f>G25</f>
        <v>26500</v>
      </c>
      <c r="J25">
        <f>E25*I25</f>
        <v>26500</v>
      </c>
      <c r="K25" t="s">
        <v>26</v>
      </c>
      <c r="L25">
        <f>J25</f>
        <v>26500</v>
      </c>
      <c r="M25" t="s">
        <v>26</v>
      </c>
      <c r="N25">
        <f>L25</f>
        <v>26500</v>
      </c>
      <c r="O25" s="13">
        <f>16500+500</f>
        <v>17000</v>
      </c>
      <c r="P25">
        <f>E25*O25</f>
        <v>17000</v>
      </c>
      <c r="Q25" s="13">
        <f>G25</f>
        <v>26500</v>
      </c>
      <c r="R25" s="13">
        <f>E25*Q25</f>
        <v>26500</v>
      </c>
    </row>
    <row r="26" spans="1:24" x14ac:dyDescent="0.3">
      <c r="A26" s="4">
        <v>5</v>
      </c>
      <c r="B26" t="s">
        <v>0</v>
      </c>
      <c r="E26" s="4">
        <v>1</v>
      </c>
      <c r="G26" s="1">
        <f>VLOOKUP(G3,I1:J10,2,0)+3000</f>
        <v>21900</v>
      </c>
      <c r="H26">
        <f t="shared" si="0"/>
        <v>21900</v>
      </c>
      <c r="I26">
        <f>G26</f>
        <v>21900</v>
      </c>
      <c r="J26">
        <f>E26*I26</f>
        <v>21900</v>
      </c>
      <c r="K26">
        <f>G26</f>
        <v>21900</v>
      </c>
      <c r="L26">
        <f>K26*E26</f>
        <v>21900</v>
      </c>
      <c r="M26">
        <f>G26</f>
        <v>21900</v>
      </c>
      <c r="N26">
        <f>E26*M26</f>
        <v>21900</v>
      </c>
      <c r="O26">
        <f>G26</f>
        <v>21900</v>
      </c>
      <c r="P26">
        <f>E26*O26</f>
        <v>21900</v>
      </c>
      <c r="Q26" s="13">
        <f>G26</f>
        <v>21900</v>
      </c>
      <c r="R26" s="13">
        <f>E26*Q26</f>
        <v>21900</v>
      </c>
    </row>
    <row r="27" spans="1:24" x14ac:dyDescent="0.3">
      <c r="A27" s="4">
        <v>16</v>
      </c>
      <c r="B27" t="s">
        <v>102</v>
      </c>
      <c r="D27" t="s">
        <v>121</v>
      </c>
      <c r="E27" s="4">
        <v>1</v>
      </c>
      <c r="G27" s="18">
        <f>62000+2000+2500</f>
        <v>66500</v>
      </c>
      <c r="H27">
        <f>G27*E27</f>
        <v>66500</v>
      </c>
      <c r="I27">
        <f>H27</f>
        <v>66500</v>
      </c>
      <c r="J27">
        <f>E27*I27</f>
        <v>66500</v>
      </c>
      <c r="K27" t="s">
        <v>26</v>
      </c>
      <c r="L27">
        <f>J27</f>
        <v>66500</v>
      </c>
      <c r="M27">
        <f>I27</f>
        <v>66500</v>
      </c>
      <c r="N27">
        <f>E27*M27</f>
        <v>66500</v>
      </c>
      <c r="O27" s="21">
        <v>120000</v>
      </c>
      <c r="P27">
        <f>E27*O27</f>
        <v>120000</v>
      </c>
      <c r="Q27" s="13">
        <f>P27</f>
        <v>120000</v>
      </c>
      <c r="R27" s="13">
        <f>E27*Q27</f>
        <v>120000</v>
      </c>
      <c r="S27" t="s">
        <v>26</v>
      </c>
      <c r="U27" t="s">
        <v>86</v>
      </c>
    </row>
    <row r="28" spans="1:24" x14ac:dyDescent="0.3">
      <c r="A28" s="4"/>
      <c r="B28" t="s">
        <v>71</v>
      </c>
      <c r="E28" s="4">
        <v>1</v>
      </c>
      <c r="G28" s="13">
        <v>10000</v>
      </c>
      <c r="H28">
        <f>G28*E28</f>
        <v>10000</v>
      </c>
      <c r="I28">
        <f>G28</f>
        <v>10000</v>
      </c>
      <c r="J28">
        <f>I28</f>
        <v>10000</v>
      </c>
      <c r="L28">
        <f>J28</f>
        <v>10000</v>
      </c>
      <c r="N28">
        <f>L28</f>
        <v>10000</v>
      </c>
      <c r="O28" s="13">
        <v>5000</v>
      </c>
      <c r="P28">
        <f>O28</f>
        <v>5000</v>
      </c>
      <c r="Q28" s="13">
        <f>P28</f>
        <v>5000</v>
      </c>
      <c r="R28" s="13">
        <f>Q28</f>
        <v>5000</v>
      </c>
      <c r="U28" t="s">
        <v>87</v>
      </c>
    </row>
    <row r="29" spans="1:24" x14ac:dyDescent="0.3">
      <c r="A29" s="4">
        <v>6</v>
      </c>
      <c r="B29" t="s">
        <v>103</v>
      </c>
      <c r="C29" t="s">
        <v>122</v>
      </c>
      <c r="D29" t="s">
        <v>72</v>
      </c>
      <c r="E29" s="10">
        <f>((R14/1000)+2)*4</f>
        <v>79.599999999999994</v>
      </c>
      <c r="F29" s="11"/>
      <c r="G29" s="13">
        <v>113</v>
      </c>
      <c r="H29" s="15">
        <f>G29*E29</f>
        <v>8994.7999999999993</v>
      </c>
      <c r="I29">
        <f>G29</f>
        <v>113</v>
      </c>
      <c r="J29" s="15">
        <f>E29*I29</f>
        <v>8994.7999999999993</v>
      </c>
      <c r="K29">
        <f>I29</f>
        <v>113</v>
      </c>
      <c r="L29" s="15">
        <f t="shared" ref="L29:L41" si="1">K29*E29</f>
        <v>8994.7999999999993</v>
      </c>
      <c r="M29">
        <f>K29</f>
        <v>113</v>
      </c>
      <c r="N29" s="15">
        <f t="shared" ref="N29:N42" si="2">E29*M29</f>
        <v>8994.7999999999993</v>
      </c>
      <c r="O29">
        <v>0</v>
      </c>
      <c r="P29" s="15">
        <f>(E29*O29*2)/3*4</f>
        <v>0</v>
      </c>
      <c r="Q29" s="13">
        <v>0</v>
      </c>
      <c r="R29" s="14">
        <f>(Q29*E29*2)/3*4</f>
        <v>0</v>
      </c>
    </row>
    <row r="30" spans="1:24" x14ac:dyDescent="0.3">
      <c r="A30" s="4">
        <v>6</v>
      </c>
      <c r="B30" t="s">
        <v>103</v>
      </c>
      <c r="C30" t="s">
        <v>128</v>
      </c>
      <c r="D30" t="s">
        <v>72</v>
      </c>
      <c r="E30" s="10">
        <f>(((R14/1000)*2)+2)*7</f>
        <v>264.59999999999997</v>
      </c>
      <c r="F30" s="11"/>
      <c r="G30">
        <v>0</v>
      </c>
      <c r="H30" s="15">
        <f t="shared" ref="H30" si="3">G30*E30</f>
        <v>0</v>
      </c>
      <c r="I30">
        <v>0</v>
      </c>
      <c r="J30" s="15">
        <f>E30*I30</f>
        <v>0</v>
      </c>
      <c r="K30">
        <v>0</v>
      </c>
      <c r="L30" s="15">
        <f t="shared" si="1"/>
        <v>0</v>
      </c>
      <c r="M30">
        <v>0</v>
      </c>
      <c r="N30" s="15">
        <f t="shared" si="2"/>
        <v>0</v>
      </c>
      <c r="O30" s="13">
        <v>77</v>
      </c>
      <c r="P30" s="15">
        <f>O30*E30</f>
        <v>20374.199999999997</v>
      </c>
      <c r="Q30" s="13">
        <f>O30</f>
        <v>77</v>
      </c>
      <c r="R30" s="14">
        <f>Q30*E30</f>
        <v>20374.199999999997</v>
      </c>
    </row>
    <row r="31" spans="1:24" x14ac:dyDescent="0.3">
      <c r="A31" s="4">
        <v>7</v>
      </c>
      <c r="B31" t="s">
        <v>104</v>
      </c>
      <c r="C31" t="s">
        <v>73</v>
      </c>
      <c r="D31" t="s">
        <v>81</v>
      </c>
      <c r="E31" s="10">
        <f>((R14+3000+3000)/1000)*4</f>
        <v>95.6</v>
      </c>
      <c r="F31" s="11"/>
      <c r="G31" s="13">
        <v>128</v>
      </c>
      <c r="H31" s="15">
        <f>G31*E31</f>
        <v>12236.8</v>
      </c>
      <c r="I31">
        <f>G31</f>
        <v>128</v>
      </c>
      <c r="J31" s="15">
        <f>E31*I31</f>
        <v>12236.8</v>
      </c>
      <c r="K31">
        <f>I31</f>
        <v>128</v>
      </c>
      <c r="L31" s="15">
        <f t="shared" si="1"/>
        <v>12236.8</v>
      </c>
      <c r="M31">
        <f>K31</f>
        <v>128</v>
      </c>
      <c r="N31" s="15">
        <f t="shared" si="2"/>
        <v>12236.8</v>
      </c>
      <c r="O31">
        <f>I31</f>
        <v>128</v>
      </c>
      <c r="P31" s="15">
        <f>E31*O31</f>
        <v>12236.8</v>
      </c>
      <c r="Q31" s="13">
        <f>O31</f>
        <v>128</v>
      </c>
      <c r="R31" s="14">
        <f>E31*Q31</f>
        <v>12236.8</v>
      </c>
    </row>
    <row r="32" spans="1:24" x14ac:dyDescent="0.3">
      <c r="A32" s="4">
        <v>8</v>
      </c>
      <c r="B32" t="s">
        <v>20</v>
      </c>
      <c r="E32" s="4">
        <v>1</v>
      </c>
      <c r="G32" s="13">
        <v>80000</v>
      </c>
      <c r="H32">
        <f t="shared" si="0"/>
        <v>80000</v>
      </c>
      <c r="I32">
        <f>H32</f>
        <v>80000</v>
      </c>
      <c r="J32">
        <f>E32*I32</f>
        <v>80000</v>
      </c>
      <c r="K32" t="s">
        <v>26</v>
      </c>
      <c r="L32">
        <f>J32</f>
        <v>80000</v>
      </c>
      <c r="M32" t="s">
        <v>26</v>
      </c>
      <c r="N32">
        <f>L32</f>
        <v>80000</v>
      </c>
      <c r="O32">
        <f>N32</f>
        <v>80000</v>
      </c>
      <c r="P32">
        <f>E32*O32</f>
        <v>80000</v>
      </c>
      <c r="Q32" s="13">
        <f>P32</f>
        <v>80000</v>
      </c>
      <c r="R32" s="13">
        <f>E32*Q32</f>
        <v>80000</v>
      </c>
    </row>
    <row r="33" spans="1:21" x14ac:dyDescent="0.3">
      <c r="A33" s="4">
        <v>9</v>
      </c>
      <c r="B33" t="s">
        <v>105</v>
      </c>
      <c r="D33" t="s">
        <v>74</v>
      </c>
      <c r="E33" s="4">
        <f>E30/4</f>
        <v>66.149999999999991</v>
      </c>
      <c r="G33" s="15">
        <f>(E33*O30)+4000+1000</f>
        <v>10093.549999999999</v>
      </c>
      <c r="H33" s="15">
        <f>G33</f>
        <v>10093.549999999999</v>
      </c>
      <c r="I33" s="15">
        <f>H33</f>
        <v>10093.549999999999</v>
      </c>
      <c r="J33" s="15">
        <f>I33</f>
        <v>10093.549999999999</v>
      </c>
      <c r="K33" s="15" t="s">
        <v>26</v>
      </c>
      <c r="L33" s="15">
        <f>J33</f>
        <v>10093.549999999999</v>
      </c>
      <c r="M33" s="15" t="s">
        <v>26</v>
      </c>
      <c r="N33" s="15">
        <f>L33</f>
        <v>10093.549999999999</v>
      </c>
      <c r="O33" s="15">
        <f>J33</f>
        <v>10093.549999999999</v>
      </c>
      <c r="P33" s="15">
        <f>O33</f>
        <v>10093.549999999999</v>
      </c>
      <c r="Q33" s="14">
        <f>P33</f>
        <v>10093.549999999999</v>
      </c>
      <c r="R33" s="14">
        <f>Q33</f>
        <v>10093.549999999999</v>
      </c>
    </row>
    <row r="34" spans="1:21" x14ac:dyDescent="0.3">
      <c r="A34" s="4">
        <v>10</v>
      </c>
      <c r="B34" t="s">
        <v>106</v>
      </c>
      <c r="D34" s="14">
        <f>15.5*55*(25+2)</f>
        <v>23017.5</v>
      </c>
      <c r="E34" s="4">
        <v>1</v>
      </c>
      <c r="G34" s="15">
        <f>D34</f>
        <v>23017.5</v>
      </c>
      <c r="H34" s="15">
        <f t="shared" si="0"/>
        <v>23017.5</v>
      </c>
      <c r="I34" s="15">
        <f>H34</f>
        <v>23017.5</v>
      </c>
      <c r="J34" s="15">
        <f>E34*I34</f>
        <v>23017.5</v>
      </c>
      <c r="K34" s="15" t="s">
        <v>26</v>
      </c>
      <c r="L34" s="15">
        <f>J34</f>
        <v>23017.5</v>
      </c>
      <c r="M34" s="15" t="s">
        <v>26</v>
      </c>
      <c r="N34" s="15">
        <f>L34</f>
        <v>23017.5</v>
      </c>
      <c r="O34" s="15">
        <f>J34</f>
        <v>23017.5</v>
      </c>
      <c r="P34" s="15">
        <f>E34*O34</f>
        <v>23017.5</v>
      </c>
      <c r="Q34" s="14">
        <f>P34</f>
        <v>23017.5</v>
      </c>
      <c r="R34" s="14">
        <f>E34*Q34</f>
        <v>23017.5</v>
      </c>
      <c r="S34" t="s">
        <v>26</v>
      </c>
      <c r="U34" t="s">
        <v>75</v>
      </c>
    </row>
    <row r="35" spans="1:21" x14ac:dyDescent="0.3">
      <c r="A35" s="4">
        <v>11</v>
      </c>
      <c r="B35" t="s">
        <v>107</v>
      </c>
      <c r="E35" s="4">
        <v>1</v>
      </c>
      <c r="G35" s="13">
        <f>4500</f>
        <v>4500</v>
      </c>
      <c r="H35">
        <f t="shared" si="0"/>
        <v>4500</v>
      </c>
      <c r="I35">
        <f t="shared" ref="I35:I40" si="4">G35</f>
        <v>4500</v>
      </c>
      <c r="J35">
        <f>E35*I35</f>
        <v>4500</v>
      </c>
      <c r="K35">
        <v>0</v>
      </c>
      <c r="L35">
        <v>0</v>
      </c>
      <c r="M35">
        <v>0</v>
      </c>
      <c r="N35">
        <f t="shared" si="2"/>
        <v>0</v>
      </c>
      <c r="O35">
        <f>I35</f>
        <v>4500</v>
      </c>
      <c r="P35">
        <f>E35*O35</f>
        <v>4500</v>
      </c>
      <c r="Q35" s="13">
        <f>O35</f>
        <v>4500</v>
      </c>
      <c r="R35" s="13">
        <f>E35*Q35</f>
        <v>4500</v>
      </c>
    </row>
    <row r="36" spans="1:21" ht="16.5" customHeight="1" x14ac:dyDescent="0.3">
      <c r="A36" s="4">
        <v>12</v>
      </c>
      <c r="B36" t="s">
        <v>108</v>
      </c>
      <c r="C36" t="s">
        <v>76</v>
      </c>
      <c r="D36" s="19">
        <f>R14/1000+10+10</f>
        <v>37.9</v>
      </c>
      <c r="E36" s="4">
        <v>1</v>
      </c>
      <c r="F36" s="5">
        <v>38</v>
      </c>
      <c r="G36" s="17">
        <f>50+2</f>
        <v>52</v>
      </c>
      <c r="H36" s="15">
        <f>G36*F36</f>
        <v>1976</v>
      </c>
      <c r="I36">
        <f t="shared" si="4"/>
        <v>52</v>
      </c>
      <c r="J36">
        <f>I36*F36</f>
        <v>1976</v>
      </c>
      <c r="K36" t="s">
        <v>26</v>
      </c>
      <c r="L36">
        <f>J36</f>
        <v>1976</v>
      </c>
      <c r="M36">
        <v>10000</v>
      </c>
      <c r="N36">
        <f>L36</f>
        <v>1976</v>
      </c>
      <c r="O36">
        <f t="shared" ref="O36:O44" si="5">G36</f>
        <v>52</v>
      </c>
      <c r="P36">
        <f>O36*F36</f>
        <v>1976</v>
      </c>
      <c r="Q36" s="13">
        <f>G36</f>
        <v>52</v>
      </c>
      <c r="R36" s="13">
        <f>Q36*F36</f>
        <v>1976</v>
      </c>
    </row>
    <row r="37" spans="1:21" ht="16.5" customHeight="1" x14ac:dyDescent="0.3">
      <c r="A37" s="4">
        <v>12</v>
      </c>
      <c r="B37" t="s">
        <v>108</v>
      </c>
      <c r="C37" t="s">
        <v>77</v>
      </c>
      <c r="D37" s="19">
        <f>(R14/1000)+G3*3+13</f>
        <v>42.9</v>
      </c>
      <c r="E37" s="4">
        <v>1</v>
      </c>
      <c r="F37" s="5">
        <v>43</v>
      </c>
      <c r="G37">
        <f>67+2</f>
        <v>69</v>
      </c>
      <c r="H37" s="15">
        <f t="shared" ref="H37:H39" si="6">G37*F37</f>
        <v>2967</v>
      </c>
      <c r="I37">
        <f t="shared" si="4"/>
        <v>69</v>
      </c>
      <c r="J37">
        <f>I37*F37</f>
        <v>2967</v>
      </c>
      <c r="K37" t="s">
        <v>26</v>
      </c>
      <c r="L37">
        <f t="shared" ref="L37:L40" si="7">J37</f>
        <v>2967</v>
      </c>
      <c r="M37">
        <v>10000</v>
      </c>
      <c r="N37">
        <f t="shared" ref="N37:N40" si="8">L37</f>
        <v>2967</v>
      </c>
      <c r="O37">
        <f t="shared" si="5"/>
        <v>69</v>
      </c>
      <c r="P37">
        <f>O37*F37</f>
        <v>2967</v>
      </c>
      <c r="Q37" s="13">
        <f>G37</f>
        <v>69</v>
      </c>
      <c r="R37" s="13">
        <f>Q37*F37</f>
        <v>2967</v>
      </c>
    </row>
    <row r="38" spans="1:21" ht="16.5" customHeight="1" x14ac:dyDescent="0.3">
      <c r="A38" s="4">
        <v>12</v>
      </c>
      <c r="B38" t="s">
        <v>108</v>
      </c>
      <c r="C38" t="s">
        <v>78</v>
      </c>
      <c r="D38" s="19">
        <f>((R14/1000)+5)+G3*2+(R14/1000*8)</f>
        <v>174.1</v>
      </c>
      <c r="E38" s="4">
        <v>1</v>
      </c>
      <c r="F38" s="5">
        <v>175</v>
      </c>
      <c r="G38">
        <f>20+3</f>
        <v>23</v>
      </c>
      <c r="H38" s="15">
        <f t="shared" si="6"/>
        <v>4025</v>
      </c>
      <c r="I38">
        <f t="shared" si="4"/>
        <v>23</v>
      </c>
      <c r="J38" s="15">
        <f>I38*F38</f>
        <v>4025</v>
      </c>
      <c r="K38" t="s">
        <v>26</v>
      </c>
      <c r="L38" s="15">
        <f t="shared" si="7"/>
        <v>4025</v>
      </c>
      <c r="M38" s="15">
        <v>10000</v>
      </c>
      <c r="N38" s="15">
        <f t="shared" si="8"/>
        <v>4025</v>
      </c>
      <c r="O38">
        <f t="shared" si="5"/>
        <v>23</v>
      </c>
      <c r="P38" s="15">
        <f>O38*F38</f>
        <v>4025</v>
      </c>
      <c r="Q38" s="13">
        <f>G38</f>
        <v>23</v>
      </c>
      <c r="R38" s="14">
        <f>Q38*F38</f>
        <v>4025</v>
      </c>
    </row>
    <row r="39" spans="1:21" ht="16.5" customHeight="1" x14ac:dyDescent="0.3">
      <c r="A39" s="4">
        <v>12</v>
      </c>
      <c r="B39" t="s">
        <v>108</v>
      </c>
      <c r="C39" t="s">
        <v>120</v>
      </c>
      <c r="D39" s="19">
        <v>50</v>
      </c>
      <c r="E39" s="4">
        <v>1</v>
      </c>
      <c r="F39" s="5">
        <v>50</v>
      </c>
      <c r="G39">
        <f>35+2.2</f>
        <v>37.200000000000003</v>
      </c>
      <c r="H39" s="15">
        <f t="shared" si="6"/>
        <v>1860.0000000000002</v>
      </c>
      <c r="I39">
        <f t="shared" si="4"/>
        <v>37.200000000000003</v>
      </c>
      <c r="J39">
        <f>I39*F39</f>
        <v>1860.0000000000002</v>
      </c>
      <c r="K39" t="s">
        <v>26</v>
      </c>
      <c r="L39">
        <f t="shared" si="7"/>
        <v>1860.0000000000002</v>
      </c>
      <c r="M39">
        <v>10000</v>
      </c>
      <c r="N39">
        <f t="shared" si="8"/>
        <v>1860.0000000000002</v>
      </c>
      <c r="O39">
        <f t="shared" si="5"/>
        <v>37.200000000000003</v>
      </c>
      <c r="P39">
        <f>O39*F39</f>
        <v>1860.0000000000002</v>
      </c>
      <c r="Q39" s="13">
        <f>G39</f>
        <v>37.200000000000003</v>
      </c>
      <c r="R39" s="13">
        <f>Q39*F39</f>
        <v>1860.0000000000002</v>
      </c>
    </row>
    <row r="40" spans="1:21" ht="16.5" customHeight="1" x14ac:dyDescent="0.3">
      <c r="A40" s="4">
        <v>12</v>
      </c>
      <c r="B40" t="s">
        <v>108</v>
      </c>
      <c r="C40" t="s">
        <v>119</v>
      </c>
      <c r="D40" s="19">
        <v>50</v>
      </c>
      <c r="E40" s="4">
        <v>1</v>
      </c>
      <c r="F40" s="5">
        <v>50</v>
      </c>
      <c r="G40">
        <f>25+2</f>
        <v>27</v>
      </c>
      <c r="H40" s="15">
        <f>G40*F40</f>
        <v>1350</v>
      </c>
      <c r="I40">
        <f t="shared" si="4"/>
        <v>27</v>
      </c>
      <c r="J40">
        <f>I40*F40</f>
        <v>1350</v>
      </c>
      <c r="K40" t="s">
        <v>26</v>
      </c>
      <c r="L40">
        <f t="shared" si="7"/>
        <v>1350</v>
      </c>
      <c r="M40">
        <v>10000</v>
      </c>
      <c r="N40">
        <f t="shared" si="8"/>
        <v>1350</v>
      </c>
      <c r="O40">
        <f t="shared" si="5"/>
        <v>27</v>
      </c>
      <c r="P40">
        <f>O40*F40</f>
        <v>1350</v>
      </c>
      <c r="Q40" s="13">
        <f>G40</f>
        <v>27</v>
      </c>
      <c r="R40" s="13">
        <f>Q40*F40</f>
        <v>1350</v>
      </c>
    </row>
    <row r="41" spans="1:21" s="8" customFormat="1" x14ac:dyDescent="0.3">
      <c r="A41" s="9">
        <v>13</v>
      </c>
      <c r="B41" s="8" t="s">
        <v>109</v>
      </c>
      <c r="D41" s="8" t="s">
        <v>127</v>
      </c>
      <c r="E41" s="4">
        <v>1</v>
      </c>
      <c r="F41" s="9"/>
      <c r="G41" s="8">
        <v>44864</v>
      </c>
      <c r="H41" s="8">
        <f t="shared" si="0"/>
        <v>44864</v>
      </c>
      <c r="I41" s="8">
        <v>60995</v>
      </c>
      <c r="J41" s="8">
        <f>E41*I41</f>
        <v>60995</v>
      </c>
      <c r="K41" s="8">
        <f>7000+1500</f>
        <v>8500</v>
      </c>
      <c r="L41" s="8">
        <f t="shared" si="1"/>
        <v>8500</v>
      </c>
      <c r="M41" s="8">
        <f>25000+1500</f>
        <v>26500</v>
      </c>
      <c r="N41" s="8">
        <f t="shared" si="2"/>
        <v>26500</v>
      </c>
      <c r="O41" s="8">
        <f t="shared" si="5"/>
        <v>44864</v>
      </c>
      <c r="P41" s="8">
        <f>E41*O41</f>
        <v>44864</v>
      </c>
      <c r="Q41" s="1">
        <f>I41</f>
        <v>60995</v>
      </c>
      <c r="R41" s="1">
        <f>E41*Q41</f>
        <v>60995</v>
      </c>
      <c r="S41" s="8" t="s">
        <v>26</v>
      </c>
    </row>
    <row r="42" spans="1:21" s="8" customFormat="1" x14ac:dyDescent="0.3">
      <c r="A42" s="9">
        <v>14</v>
      </c>
      <c r="B42" s="8" t="s">
        <v>110</v>
      </c>
      <c r="D42" s="8" t="s">
        <v>127</v>
      </c>
      <c r="E42" s="9">
        <f>G3</f>
        <v>4</v>
      </c>
      <c r="F42" s="9"/>
      <c r="G42" s="8">
        <v>18754</v>
      </c>
      <c r="H42" s="8">
        <f t="shared" si="0"/>
        <v>75016</v>
      </c>
      <c r="I42" s="8">
        <v>41731</v>
      </c>
      <c r="J42" s="8">
        <f>E42*I42</f>
        <v>166924</v>
      </c>
      <c r="K42" s="8">
        <f>7000+3800+1500</f>
        <v>12300</v>
      </c>
      <c r="L42" s="8">
        <f>K42*E42</f>
        <v>49200</v>
      </c>
      <c r="M42" s="8">
        <f>35000+1500</f>
        <v>36500</v>
      </c>
      <c r="N42" s="8">
        <f t="shared" si="2"/>
        <v>146000</v>
      </c>
      <c r="O42" s="8">
        <f t="shared" si="5"/>
        <v>18754</v>
      </c>
      <c r="P42" s="8">
        <f>E42*O42</f>
        <v>75016</v>
      </c>
      <c r="Q42" s="1">
        <f>I42</f>
        <v>41731</v>
      </c>
      <c r="R42" s="1">
        <f>E42*Q42</f>
        <v>166924</v>
      </c>
      <c r="S42" s="8" t="s">
        <v>26</v>
      </c>
    </row>
    <row r="43" spans="1:21" x14ac:dyDescent="0.3">
      <c r="A43" s="4">
        <v>17</v>
      </c>
      <c r="B43" t="s">
        <v>1</v>
      </c>
      <c r="C43" s="8" t="s">
        <v>36</v>
      </c>
      <c r="E43" s="4">
        <v>1</v>
      </c>
      <c r="G43" s="13">
        <v>25000</v>
      </c>
      <c r="H43">
        <f t="shared" si="0"/>
        <v>25000</v>
      </c>
      <c r="I43">
        <f>G43</f>
        <v>25000</v>
      </c>
      <c r="J43">
        <f>I43*E43</f>
        <v>25000</v>
      </c>
      <c r="K43" t="s">
        <v>26</v>
      </c>
      <c r="L43">
        <f>J43</f>
        <v>25000</v>
      </c>
      <c r="M43" t="s">
        <v>26</v>
      </c>
      <c r="N43">
        <f>L43</f>
        <v>25000</v>
      </c>
      <c r="O43">
        <f t="shared" si="5"/>
        <v>25000</v>
      </c>
      <c r="P43">
        <f>O43*E43</f>
        <v>25000</v>
      </c>
      <c r="Q43" s="13">
        <f>O43</f>
        <v>25000</v>
      </c>
      <c r="R43" s="13">
        <f>Q43*E43</f>
        <v>25000</v>
      </c>
      <c r="T43" t="s">
        <v>79</v>
      </c>
    </row>
    <row r="44" spans="1:21" x14ac:dyDescent="0.3">
      <c r="A44" s="4">
        <v>18</v>
      </c>
      <c r="B44" t="s">
        <v>111</v>
      </c>
      <c r="C44">
        <f>1500+1500+1000+1000</f>
        <v>5000</v>
      </c>
      <c r="D44" t="s">
        <v>115</v>
      </c>
      <c r="E44" s="4">
        <v>1</v>
      </c>
      <c r="G44">
        <f>7000</f>
        <v>7000</v>
      </c>
      <c r="H44">
        <f t="shared" si="0"/>
        <v>7000</v>
      </c>
      <c r="I44" s="8">
        <f>G44</f>
        <v>7000</v>
      </c>
      <c r="J44">
        <f>E44*I44</f>
        <v>7000</v>
      </c>
      <c r="K44" t="s">
        <v>26</v>
      </c>
      <c r="L44">
        <v>5000</v>
      </c>
      <c r="M44" t="s">
        <v>26</v>
      </c>
      <c r="N44">
        <v>5000</v>
      </c>
      <c r="O44">
        <f t="shared" si="5"/>
        <v>7000</v>
      </c>
      <c r="P44">
        <f>E44*O44</f>
        <v>7000</v>
      </c>
      <c r="Q44" s="13">
        <f>G44</f>
        <v>7000</v>
      </c>
      <c r="R44" s="13">
        <f>E44*Q44</f>
        <v>7000</v>
      </c>
    </row>
    <row r="45" spans="1:21" x14ac:dyDescent="0.3">
      <c r="A45" s="4"/>
      <c r="B45" t="s">
        <v>70</v>
      </c>
      <c r="D45">
        <f>2000+1000+2000</f>
        <v>5000</v>
      </c>
      <c r="E45" s="4">
        <v>1</v>
      </c>
      <c r="G45">
        <v>7000</v>
      </c>
      <c r="H45">
        <f>G45*E45</f>
        <v>7000</v>
      </c>
      <c r="I45" s="8">
        <f>G45</f>
        <v>7000</v>
      </c>
      <c r="J45">
        <f>I45*E45</f>
        <v>7000</v>
      </c>
      <c r="L45">
        <f>J45</f>
        <v>7000</v>
      </c>
      <c r="N45">
        <f>L45</f>
        <v>7000</v>
      </c>
      <c r="O45">
        <f>I45</f>
        <v>7000</v>
      </c>
      <c r="P45">
        <f>O45*E45</f>
        <v>7000</v>
      </c>
      <c r="Q45" s="13">
        <f>O45</f>
        <v>7000</v>
      </c>
      <c r="R45" s="13">
        <f>Q45*E45</f>
        <v>7000</v>
      </c>
    </row>
    <row r="46" spans="1:21" x14ac:dyDescent="0.3">
      <c r="A46" s="4">
        <v>19</v>
      </c>
      <c r="B46" t="s">
        <v>112</v>
      </c>
      <c r="E46" s="4">
        <v>1</v>
      </c>
      <c r="G46">
        <v>10000</v>
      </c>
      <c r="H46">
        <f t="shared" si="0"/>
        <v>10000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13">
        <v>7500</v>
      </c>
      <c r="R46" s="13">
        <f>E46*Q46</f>
        <v>7500</v>
      </c>
    </row>
    <row r="47" spans="1:21" x14ac:dyDescent="0.3">
      <c r="A47" s="4"/>
      <c r="D47" t="s">
        <v>10</v>
      </c>
      <c r="H47" s="15">
        <f>SUM(H16:H46)</f>
        <v>703350.64999999991</v>
      </c>
      <c r="J47" s="15">
        <f>SUM(J16:J46)</f>
        <v>833889.64999999991</v>
      </c>
      <c r="L47" s="15">
        <f>SUM(L16:L46)</f>
        <v>632170.64999999991</v>
      </c>
      <c r="N47" s="15">
        <f>SUM(N16:N46)</f>
        <v>771970.64999999991</v>
      </c>
      <c r="P47" s="15">
        <f>SUM(P16:P46)</f>
        <v>772230.05</v>
      </c>
      <c r="R47" s="14">
        <f>SUM(R16:R46)</f>
        <v>914769.05</v>
      </c>
    </row>
    <row r="48" spans="1:21" x14ac:dyDescent="0.3">
      <c r="A48" s="4">
        <v>20</v>
      </c>
      <c r="B48" t="s">
        <v>82</v>
      </c>
      <c r="D48" t="s">
        <v>83</v>
      </c>
      <c r="E48" s="4">
        <f>G3</f>
        <v>4</v>
      </c>
      <c r="G48" s="13">
        <v>14000</v>
      </c>
      <c r="H48">
        <f>G48*E48</f>
        <v>56000</v>
      </c>
      <c r="I48" s="8">
        <f>G48</f>
        <v>14000</v>
      </c>
      <c r="J48">
        <f>E48*I48</f>
        <v>56000</v>
      </c>
      <c r="K48">
        <f>I48</f>
        <v>14000</v>
      </c>
      <c r="L48">
        <f>K48*E48</f>
        <v>56000</v>
      </c>
      <c r="M48">
        <f>K48</f>
        <v>14000</v>
      </c>
      <c r="N48">
        <f>E48*M48</f>
        <v>56000</v>
      </c>
      <c r="O48">
        <f>I48</f>
        <v>14000</v>
      </c>
      <c r="P48">
        <f>E48*O48</f>
        <v>56000</v>
      </c>
      <c r="Q48" s="13">
        <f>O48</f>
        <v>14000</v>
      </c>
      <c r="R48" s="13">
        <f>E48*Q48</f>
        <v>56000</v>
      </c>
    </row>
    <row r="49" spans="1:18" x14ac:dyDescent="0.3">
      <c r="A49" s="4">
        <v>21</v>
      </c>
      <c r="B49" t="s">
        <v>113</v>
      </c>
      <c r="E49" s="4">
        <v>1</v>
      </c>
      <c r="G49">
        <v>12000</v>
      </c>
      <c r="H49">
        <f>G49*E49</f>
        <v>12000</v>
      </c>
      <c r="I49">
        <f>H49</f>
        <v>12000</v>
      </c>
      <c r="J49">
        <f>E49*I49</f>
        <v>12000</v>
      </c>
      <c r="K49">
        <f>I49</f>
        <v>12000</v>
      </c>
      <c r="L49">
        <f>K49*E49</f>
        <v>12000</v>
      </c>
      <c r="M49">
        <f>L49</f>
        <v>12000</v>
      </c>
      <c r="N49">
        <f>E49*M49</f>
        <v>12000</v>
      </c>
      <c r="O49">
        <f>N49</f>
        <v>12000</v>
      </c>
      <c r="P49">
        <f>E49*O49</f>
        <v>12000</v>
      </c>
      <c r="Q49" s="13">
        <f>P49</f>
        <v>12000</v>
      </c>
      <c r="R49" s="13">
        <f>E49*Q49</f>
        <v>12000</v>
      </c>
    </row>
    <row r="50" spans="1:18" x14ac:dyDescent="0.3">
      <c r="A50" s="4">
        <v>22</v>
      </c>
      <c r="B50" t="s">
        <v>114</v>
      </c>
      <c r="E50" s="4">
        <v>1</v>
      </c>
      <c r="G50" s="15">
        <f>H47*5%</f>
        <v>35167.532499999994</v>
      </c>
      <c r="H50" s="15">
        <f>G50*E50</f>
        <v>35167.532499999994</v>
      </c>
      <c r="I50" s="15">
        <f>J47*5%</f>
        <v>41694.482499999998</v>
      </c>
      <c r="J50" s="15">
        <f>E50*I50</f>
        <v>41694.482499999998</v>
      </c>
      <c r="K50" s="15">
        <f>L47*5%</f>
        <v>31608.532499999998</v>
      </c>
      <c r="L50" s="15">
        <f>K50*E50</f>
        <v>31608.532499999998</v>
      </c>
      <c r="M50" s="15">
        <f>N47*5%</f>
        <v>38598.532499999994</v>
      </c>
      <c r="N50" s="15">
        <f>E50*M50</f>
        <v>38598.532499999994</v>
      </c>
      <c r="O50" s="15">
        <f>P47*5%</f>
        <v>38611.502500000002</v>
      </c>
      <c r="P50" s="15">
        <f>E50*O50</f>
        <v>38611.502500000002</v>
      </c>
      <c r="Q50" s="14">
        <f>R47*5%</f>
        <v>45738.452500000007</v>
      </c>
      <c r="R50" s="14">
        <f>E50*Q50</f>
        <v>45738.452500000007</v>
      </c>
    </row>
    <row r="51" spans="1:18" x14ac:dyDescent="0.3">
      <c r="D51" t="s">
        <v>10</v>
      </c>
      <c r="H51" s="15">
        <f>H47+H48+H49+H50</f>
        <v>806518.18249999988</v>
      </c>
      <c r="J51" s="15">
        <f>J47+J48+J49+J50</f>
        <v>943584.13249999995</v>
      </c>
      <c r="L51" s="15">
        <f>L47+L48+L49+L50</f>
        <v>731779.18249999988</v>
      </c>
      <c r="N51" s="15">
        <f>N47+N48+N49+N50</f>
        <v>878569.18249999988</v>
      </c>
      <c r="P51" s="15">
        <f>P47+P48+P49+P50</f>
        <v>878841.55249999999</v>
      </c>
      <c r="R51" s="14">
        <f>R47+R48+R49+R50</f>
        <v>1028507.5025000001</v>
      </c>
    </row>
    <row r="52" spans="1:18" x14ac:dyDescent="0.3">
      <c r="B52" t="s">
        <v>2</v>
      </c>
      <c r="H52" s="15">
        <f>H51*20%</f>
        <v>161303.63649999999</v>
      </c>
      <c r="J52" s="15">
        <f>J51*20%</f>
        <v>188716.8265</v>
      </c>
      <c r="L52" s="15">
        <f>L51*20%</f>
        <v>146355.83649999998</v>
      </c>
      <c r="N52" s="15">
        <f>N51*20%</f>
        <v>175713.83649999998</v>
      </c>
      <c r="P52" s="15">
        <f>P51*20%</f>
        <v>175768.31050000002</v>
      </c>
      <c r="R52" s="15">
        <f>R51*20%</f>
        <v>205701.50050000002</v>
      </c>
    </row>
    <row r="53" spans="1:18" x14ac:dyDescent="0.3">
      <c r="B53" t="s">
        <v>3</v>
      </c>
      <c r="H53" s="15">
        <f>H52+H51</f>
        <v>967821.8189999999</v>
      </c>
      <c r="J53" s="15">
        <f>J52+J51</f>
        <v>1132300.959</v>
      </c>
      <c r="L53" s="15">
        <f>L52+L51</f>
        <v>878135.01899999985</v>
      </c>
      <c r="N53" s="15">
        <f>N52+N51</f>
        <v>1054283.0189999999</v>
      </c>
      <c r="P53" s="15">
        <f>P52+P51</f>
        <v>1054609.8629999999</v>
      </c>
      <c r="R53" s="14">
        <f>R52+R51</f>
        <v>1234209.003</v>
      </c>
    </row>
    <row r="54" spans="1:18" x14ac:dyDescent="0.3">
      <c r="B54" t="s">
        <v>4</v>
      </c>
      <c r="J54" t="s">
        <v>26</v>
      </c>
      <c r="K54" t="s">
        <v>26</v>
      </c>
      <c r="R54" s="13" t="s">
        <v>26</v>
      </c>
    </row>
  </sheetData>
  <mergeCells count="11">
    <mergeCell ref="G15:H15"/>
    <mergeCell ref="I15:J15"/>
    <mergeCell ref="K15:L15"/>
    <mergeCell ref="M15:N15"/>
    <mergeCell ref="O15:P15"/>
    <mergeCell ref="K14:L14"/>
    <mergeCell ref="M14:N14"/>
    <mergeCell ref="W15:X15"/>
    <mergeCell ref="T23:X23"/>
    <mergeCell ref="T24:X24"/>
    <mergeCell ref="Q15:R1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2026-05-28T18:37:04Z</dcterms:modified>
</cp:coreProperties>
</file>