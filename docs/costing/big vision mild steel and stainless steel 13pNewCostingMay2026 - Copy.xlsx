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D08EF009-F9BD-4276-B490-08B3D18E5F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3" l="1"/>
  <c r="P52" i="3"/>
  <c r="N52" i="3"/>
  <c r="L52" i="3"/>
  <c r="J52" i="3"/>
  <c r="H52" i="3"/>
  <c r="Q42" i="3" l="1"/>
  <c r="H49" i="3"/>
  <c r="I49" i="3" s="1"/>
  <c r="I48" i="3"/>
  <c r="O48" i="3" s="1"/>
  <c r="Q48" i="3" s="1"/>
  <c r="R48" i="3" s="1"/>
  <c r="E48" i="3"/>
  <c r="R46" i="3"/>
  <c r="P46" i="3"/>
  <c r="N46" i="3"/>
  <c r="L46" i="3"/>
  <c r="J46" i="3"/>
  <c r="H46" i="3"/>
  <c r="I45" i="3"/>
  <c r="J45" i="3" s="1"/>
  <c r="L45" i="3" s="1"/>
  <c r="N45" i="3" s="1"/>
  <c r="H45" i="3"/>
  <c r="D45" i="3"/>
  <c r="G44" i="3"/>
  <c r="O44" i="3" s="1"/>
  <c r="P44" i="3" s="1"/>
  <c r="C44" i="3"/>
  <c r="Q43" i="3"/>
  <c r="R43" i="3" s="1"/>
  <c r="O43" i="3"/>
  <c r="P43" i="3" s="1"/>
  <c r="I43" i="3"/>
  <c r="J43" i="3" s="1"/>
  <c r="L43" i="3" s="1"/>
  <c r="N43" i="3" s="1"/>
  <c r="H43" i="3"/>
  <c r="O42" i="3"/>
  <c r="M42" i="3"/>
  <c r="K42" i="3"/>
  <c r="E42" i="3"/>
  <c r="H42" i="3" s="1"/>
  <c r="Q41" i="3"/>
  <c r="R41" i="3" s="1"/>
  <c r="O41" i="3"/>
  <c r="P41" i="3" s="1"/>
  <c r="M41" i="3"/>
  <c r="N41" i="3" s="1"/>
  <c r="K41" i="3"/>
  <c r="L41" i="3" s="1"/>
  <c r="J41" i="3"/>
  <c r="H41" i="3"/>
  <c r="G40" i="3"/>
  <c r="Q40" i="3" s="1"/>
  <c r="R40" i="3" s="1"/>
  <c r="G39" i="3"/>
  <c r="O39" i="3" s="1"/>
  <c r="P39" i="3" s="1"/>
  <c r="G38" i="3"/>
  <c r="H38" i="3" s="1"/>
  <c r="G37" i="3"/>
  <c r="Q37" i="3" s="1"/>
  <c r="R37" i="3" s="1"/>
  <c r="G36" i="3"/>
  <c r="O36" i="3" s="1"/>
  <c r="P36" i="3" s="1"/>
  <c r="N35" i="3"/>
  <c r="G35" i="3"/>
  <c r="H35" i="3" s="1"/>
  <c r="D34" i="3"/>
  <c r="G34" i="3" s="1"/>
  <c r="H34" i="3" s="1"/>
  <c r="I34" i="3" s="1"/>
  <c r="J34" i="3" s="1"/>
  <c r="H32" i="3"/>
  <c r="I32" i="3" s="1"/>
  <c r="J32" i="3" s="1"/>
  <c r="L32" i="3" s="1"/>
  <c r="N32" i="3" s="1"/>
  <c r="O32" i="3" s="1"/>
  <c r="P32" i="3" s="1"/>
  <c r="Q32" i="3" s="1"/>
  <c r="R32" i="3" s="1"/>
  <c r="I31" i="3"/>
  <c r="O31" i="3" s="1"/>
  <c r="Q31" i="3" s="1"/>
  <c r="Q30" i="3"/>
  <c r="I29" i="3"/>
  <c r="K29" i="3" s="1"/>
  <c r="M29" i="3" s="1"/>
  <c r="P28" i="3"/>
  <c r="Q28" i="3" s="1"/>
  <c r="R28" i="3" s="1"/>
  <c r="I28" i="3"/>
  <c r="J28" i="3" s="1"/>
  <c r="L28" i="3" s="1"/>
  <c r="N28" i="3" s="1"/>
  <c r="H28" i="3"/>
  <c r="P27" i="3"/>
  <c r="Q27" i="3" s="1"/>
  <c r="R27" i="3" s="1"/>
  <c r="G27" i="3"/>
  <c r="H27" i="3" s="1"/>
  <c r="I27" i="3" s="1"/>
  <c r="G26" i="3"/>
  <c r="O26" i="3" s="1"/>
  <c r="P26" i="3" s="1"/>
  <c r="O25" i="3"/>
  <c r="P25" i="3" s="1"/>
  <c r="I25" i="3"/>
  <c r="J25" i="3" s="1"/>
  <c r="L25" i="3" s="1"/>
  <c r="N25" i="3" s="1"/>
  <c r="G25" i="3"/>
  <c r="H25" i="3" s="1"/>
  <c r="O24" i="3"/>
  <c r="P24" i="3" s="1"/>
  <c r="N24" i="3"/>
  <c r="L24" i="3"/>
  <c r="H24" i="3"/>
  <c r="G23" i="3"/>
  <c r="I23" i="3" s="1"/>
  <c r="J23" i="3" s="1"/>
  <c r="L23" i="3" s="1"/>
  <c r="N23" i="3" s="1"/>
  <c r="I22" i="3"/>
  <c r="J22" i="3" s="1"/>
  <c r="L22" i="3" s="1"/>
  <c r="N22" i="3" s="1"/>
  <c r="H22" i="3"/>
  <c r="I21" i="3"/>
  <c r="J21" i="3" s="1"/>
  <c r="L21" i="3" s="1"/>
  <c r="N21" i="3" s="1"/>
  <c r="H21" i="3"/>
  <c r="H20" i="3"/>
  <c r="J20" i="3" s="1"/>
  <c r="L20" i="3" s="1"/>
  <c r="N20" i="3" s="1"/>
  <c r="P20" i="3" s="1"/>
  <c r="R20" i="3" s="1"/>
  <c r="Q19" i="3"/>
  <c r="R19" i="3" s="1"/>
  <c r="M19" i="3"/>
  <c r="N19" i="3" s="1"/>
  <c r="J19" i="3"/>
  <c r="H19" i="3"/>
  <c r="K19" i="3" s="1"/>
  <c r="Q18" i="3"/>
  <c r="M17" i="3"/>
  <c r="K17" i="3"/>
  <c r="G17" i="3"/>
  <c r="I17" i="3" s="1"/>
  <c r="J17" i="3" s="1"/>
  <c r="L17" i="3" s="1"/>
  <c r="N17" i="3" s="1"/>
  <c r="G16" i="3"/>
  <c r="O16" i="3" s="1"/>
  <c r="P16" i="3" s="1"/>
  <c r="R14" i="3"/>
  <c r="K10" i="3"/>
  <c r="K11" i="3" s="1"/>
  <c r="K12" i="3" s="1"/>
  <c r="J10" i="3"/>
  <c r="J9" i="3"/>
  <c r="J8" i="3"/>
  <c r="J7" i="3"/>
  <c r="J6" i="3"/>
  <c r="J5" i="3"/>
  <c r="J4" i="3"/>
  <c r="J3" i="3"/>
  <c r="J2" i="3"/>
  <c r="O38" i="3" l="1"/>
  <c r="P38" i="3" s="1"/>
  <c r="I35" i="3"/>
  <c r="O35" i="3" s="1"/>
  <c r="Q44" i="3"/>
  <c r="R44" i="3" s="1"/>
  <c r="D36" i="3"/>
  <c r="E30" i="3"/>
  <c r="R30" i="3" s="1"/>
  <c r="I38" i="3"/>
  <c r="J38" i="3" s="1"/>
  <c r="L38" i="3" s="1"/>
  <c r="N38" i="3" s="1"/>
  <c r="E16" i="3"/>
  <c r="P48" i="3"/>
  <c r="L19" i="3"/>
  <c r="H40" i="3"/>
  <c r="J48" i="3"/>
  <c r="I40" i="3"/>
  <c r="J40" i="3" s="1"/>
  <c r="L40" i="3" s="1"/>
  <c r="N40" i="3" s="1"/>
  <c r="K48" i="3"/>
  <c r="M48" i="3" s="1"/>
  <c r="N48" i="3" s="1"/>
  <c r="M16" i="3"/>
  <c r="O40" i="3"/>
  <c r="P40" i="3" s="1"/>
  <c r="N42" i="3"/>
  <c r="O19" i="3"/>
  <c r="P19" i="3" s="1"/>
  <c r="Q24" i="3"/>
  <c r="R24" i="3" s="1"/>
  <c r="H37" i="3"/>
  <c r="R42" i="3"/>
  <c r="I37" i="3"/>
  <c r="J37" i="3" s="1"/>
  <c r="L37" i="3" s="1"/>
  <c r="N37" i="3" s="1"/>
  <c r="H44" i="3"/>
  <c r="H16" i="3"/>
  <c r="J42" i="3"/>
  <c r="I44" i="3"/>
  <c r="J44" i="3" s="1"/>
  <c r="I16" i="3"/>
  <c r="L42" i="3"/>
  <c r="J16" i="3"/>
  <c r="Q16" i="3"/>
  <c r="R16" i="3" s="1"/>
  <c r="O37" i="3"/>
  <c r="P37" i="3" s="1"/>
  <c r="J27" i="3"/>
  <c r="L27" i="3" s="1"/>
  <c r="M27" i="3"/>
  <c r="N27" i="3" s="1"/>
  <c r="O34" i="3"/>
  <c r="P34" i="3" s="1"/>
  <c r="Q34" i="3" s="1"/>
  <c r="R34" i="3" s="1"/>
  <c r="L34" i="3"/>
  <c r="N34" i="3" s="1"/>
  <c r="Q35" i="3"/>
  <c r="R35" i="3" s="1"/>
  <c r="P35" i="3"/>
  <c r="J49" i="3"/>
  <c r="K49" i="3"/>
  <c r="L49" i="3" s="1"/>
  <c r="M49" i="3" s="1"/>
  <c r="N49" i="3" s="1"/>
  <c r="O49" i="3" s="1"/>
  <c r="P49" i="3" s="1"/>
  <c r="Q49" i="3" s="1"/>
  <c r="R49" i="3" s="1"/>
  <c r="O21" i="3"/>
  <c r="H17" i="3"/>
  <c r="P17" i="3" s="1"/>
  <c r="R17" i="3" s="1"/>
  <c r="O22" i="3"/>
  <c r="H26" i="3"/>
  <c r="Q36" i="3"/>
  <c r="R36" i="3" s="1"/>
  <c r="Q39" i="3"/>
  <c r="R39" i="3" s="1"/>
  <c r="H23" i="3"/>
  <c r="Q25" i="3"/>
  <c r="R25" i="3" s="1"/>
  <c r="I26" i="3"/>
  <c r="J26" i="3" s="1"/>
  <c r="M26" i="3"/>
  <c r="N26" i="3" s="1"/>
  <c r="Q26" i="3"/>
  <c r="R26" i="3" s="1"/>
  <c r="E29" i="3"/>
  <c r="J35" i="3"/>
  <c r="H36" i="3"/>
  <c r="D38" i="3"/>
  <c r="H39" i="3"/>
  <c r="O45" i="3"/>
  <c r="K16" i="3"/>
  <c r="L16" i="3" s="1"/>
  <c r="E17" i="3"/>
  <c r="E18" i="3" s="1"/>
  <c r="I36" i="3"/>
  <c r="J36" i="3" s="1"/>
  <c r="L36" i="3" s="1"/>
  <c r="N36" i="3" s="1"/>
  <c r="D37" i="3"/>
  <c r="Q38" i="3"/>
  <c r="R38" i="3" s="1"/>
  <c r="I39" i="3"/>
  <c r="J39" i="3" s="1"/>
  <c r="L39" i="3" s="1"/>
  <c r="N39" i="3" s="1"/>
  <c r="P42" i="3"/>
  <c r="H48" i="3"/>
  <c r="L48" i="3"/>
  <c r="K26" i="3"/>
  <c r="L26" i="3" s="1"/>
  <c r="E31" i="3"/>
  <c r="K31" i="3"/>
  <c r="M31" i="3" l="1"/>
  <c r="L31" i="3"/>
  <c r="J18" i="3"/>
  <c r="L18" i="3"/>
  <c r="N18" i="3"/>
  <c r="Q22" i="3"/>
  <c r="R22" i="3" s="1"/>
  <c r="P22" i="3"/>
  <c r="R31" i="3"/>
  <c r="N31" i="3"/>
  <c r="J31" i="3"/>
  <c r="P31" i="3"/>
  <c r="H31" i="3"/>
  <c r="N16" i="3"/>
  <c r="R29" i="3"/>
  <c r="H29" i="3"/>
  <c r="P29" i="3"/>
  <c r="N29" i="3"/>
  <c r="J29" i="3"/>
  <c r="N30" i="3"/>
  <c r="L30" i="3"/>
  <c r="J30" i="3"/>
  <c r="E33" i="3"/>
  <c r="G33" i="3" s="1"/>
  <c r="H33" i="3" s="1"/>
  <c r="I33" i="3" s="1"/>
  <c r="J33" i="3" s="1"/>
  <c r="P30" i="3"/>
  <c r="H30" i="3"/>
  <c r="Q45" i="3"/>
  <c r="R45" i="3" s="1"/>
  <c r="P45" i="3"/>
  <c r="Q21" i="3"/>
  <c r="R21" i="3" s="1"/>
  <c r="P21" i="3"/>
  <c r="L29" i="3"/>
  <c r="H47" i="3" l="1"/>
  <c r="G50" i="3"/>
  <c r="H50" i="3" s="1"/>
  <c r="H51" i="3" s="1"/>
  <c r="H53" i="3" s="1"/>
  <c r="N47" i="3"/>
  <c r="O33" i="3"/>
  <c r="P33" i="3" s="1"/>
  <c r="Q33" i="3" s="1"/>
  <c r="R33" i="3" s="1"/>
  <c r="R47" i="3" s="1"/>
  <c r="L33" i="3"/>
  <c r="N33" i="3" s="1"/>
  <c r="J47" i="3"/>
  <c r="P47" i="3" l="1"/>
  <c r="Q50" i="3"/>
  <c r="R50" i="3" s="1"/>
  <c r="R51" i="3" s="1"/>
  <c r="R53" i="3" s="1"/>
  <c r="O50" i="3"/>
  <c r="P50" i="3" s="1"/>
  <c r="P51" i="3" s="1"/>
  <c r="P53" i="3" s="1"/>
  <c r="L47" i="3"/>
  <c r="I50" i="3"/>
  <c r="J50" i="3" s="1"/>
  <c r="J51" i="3" s="1"/>
  <c r="J53" i="3" s="1"/>
  <c r="M50" i="3"/>
  <c r="N50" i="3" s="1"/>
  <c r="N51" i="3" s="1"/>
  <c r="N53" i="3" s="1"/>
  <c r="K50" i="3" l="1"/>
  <c r="L50" i="3" s="1"/>
  <c r="L51" i="3" s="1"/>
  <c r="L53" i="3" s="1"/>
</calcChain>
</file>

<file path=xl/sharedStrings.xml><?xml version="1.0" encoding="utf-8"?>
<sst xmlns="http://schemas.openxmlformats.org/spreadsheetml/2006/main" count="189" uniqueCount="129">
  <si>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</si>
  <si>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</si>
  <si>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</si>
  <si>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</si>
  <si>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</si>
  <si>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</si>
  <si>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</si>
  <si>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</si>
  <si>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</si>
  <si>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</si>
  <si>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</si>
  <si>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</si>
  <si>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</si>
  <si>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</si>
  <si>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</si>
  <si>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</si>
  <si>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</si>
  <si>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</si>
  <si>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</si>
  <si>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</si>
  <si>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</si>
  <si>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</si>
  <si>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</si>
  <si>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</si>
  <si>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</si>
  <si>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</si>
  <si>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</si>
  <si>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</si>
  <si>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</si>
  <si>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</si>
  <si>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</si>
  <si>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</si>
  <si>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</si>
  <si>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</si>
  <si>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</si>
  <si>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</si>
  <si>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</si>
  <si>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</si>
  <si>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</si>
  <si>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</si>
  <si>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</si>
  <si>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</si>
  <si>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</si>
  <si>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</si>
  <si>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</si>
  <si>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</si>
  <si>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</si>
  <si>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</si>
  <si>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</si>
  <si>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</si>
  <si>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</si>
  <si>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</si>
  <si>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</si>
  <si>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</si>
  <si>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</si>
  <si>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</si>
  <si>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</si>
  <si>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</si>
  <si>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</si>
  <si>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</si>
  <si>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</si>
  <si>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</si>
  <si>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</si>
  <si>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</si>
  <si>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</si>
  <si>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</si>
  <si>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</si>
  <si>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</si>
  <si>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</si>
  <si>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</si>
  <si>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</si>
  <si>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</si>
  <si>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</si>
  <si>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</si>
  <si>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</si>
  <si>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</si>
  <si>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</si>
  <si>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</si>
  <si>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</si>
  <si>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</si>
  <si>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</si>
  <si>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</si>
  <si>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</si>
  <si>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</si>
  <si>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</si>
  <si>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</si>
  <si>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</si>
  <si>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</si>
  <si>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</si>
  <si>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</si>
  <si>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</si>
  <si>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</si>
  <si>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</si>
  <si>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</si>
  <si>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</si>
  <si>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</si>
  <si>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</si>
  <si>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</si>
  <si>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</si>
  <si>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</si>
  <si>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</si>
  <si>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</si>
  <si>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</si>
  <si>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</si>
  <si>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</si>
  <si>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</si>
  <si>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</si>
  <si>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</si>
  <si>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</si>
  <si>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</si>
  <si>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</si>
  <si>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</si>
  <si>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</si>
  <si>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</si>
  <si>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</si>
  <si>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</si>
  <si>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</si>
  <si>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</si>
  <si>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</si>
  <si>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</si>
  <si>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</si>
  <si>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</si>
  <si>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srt125,13mm,4rope</t>
  </si>
  <si>
    <t>9mm &amp; 16mm</t>
  </si>
  <si>
    <t>rope wala</t>
  </si>
  <si>
    <t>15hp openloop</t>
  </si>
  <si>
    <t>10hp closeloop</t>
  </si>
  <si>
    <t>seg 30,8mm,6rope</t>
  </si>
  <si>
    <t>upto 900mm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</si>
</sst>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4"/>
  <sheetViews>
    <sheetView tabSelected="1" topLeftCell="C32" workbookViewId="0">
      <selection activeCell="R52" sqref="R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13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2" t="s">
        <v>116</v>
      </c>
      <c r="L14" s="23"/>
      <c r="M14" s="22" t="s">
        <v>116</v>
      </c>
      <c r="N14" s="24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1" t="s">
        <v>11</v>
      </c>
      <c r="H15" s="21"/>
      <c r="I15" s="21" t="s">
        <v>12</v>
      </c>
      <c r="J15" s="21"/>
      <c r="K15" s="21" t="s">
        <v>13</v>
      </c>
      <c r="L15" s="21"/>
      <c r="M15" s="21" t="s">
        <v>14</v>
      </c>
      <c r="N15" s="21"/>
      <c r="O15" s="21" t="s">
        <v>15</v>
      </c>
      <c r="P15" s="21"/>
      <c r="Q15" s="26" t="s">
        <v>16</v>
      </c>
      <c r="R15" s="26"/>
      <c r="V15" s="9"/>
      <c r="W15" s="21"/>
      <c r="X15" s="21"/>
    </row>
    <row r="16" spans="1:24" x14ac:dyDescent="0.3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3500+4500+200</f>
        <v>8200</v>
      </c>
      <c r="H16" s="15">
        <f>G16*F16</f>
        <v>65600</v>
      </c>
      <c r="I16">
        <f>G16</f>
        <v>8200</v>
      </c>
      <c r="J16" s="15">
        <f>F16*G16</f>
        <v>65600</v>
      </c>
      <c r="K16">
        <f>G16</f>
        <v>8200</v>
      </c>
      <c r="L16" s="15">
        <f>K16*F16</f>
        <v>65600</v>
      </c>
      <c r="M16">
        <f>G16</f>
        <v>8200</v>
      </c>
      <c r="N16" s="15">
        <f>L16</f>
        <v>65600</v>
      </c>
      <c r="O16">
        <f>G16</f>
        <v>8200</v>
      </c>
      <c r="P16" s="15">
        <f>F16*O16</f>
        <v>65600</v>
      </c>
      <c r="Q16" s="13">
        <f>G16</f>
        <v>8200</v>
      </c>
      <c r="R16" s="14">
        <f>F16*Q16</f>
        <v>65600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0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85000</v>
      </c>
      <c r="H19">
        <f t="shared" ref="H19:H46" si="0">G19*E19</f>
        <v>85000</v>
      </c>
      <c r="I19" s="13">
        <v>100000</v>
      </c>
      <c r="J19">
        <f>E19*I19</f>
        <v>100000</v>
      </c>
      <c r="K19">
        <f>H19</f>
        <v>85000</v>
      </c>
      <c r="L19">
        <f>H19</f>
        <v>85000</v>
      </c>
      <c r="M19">
        <f>I19</f>
        <v>100000</v>
      </c>
      <c r="N19">
        <f>E19*M19</f>
        <v>100000</v>
      </c>
      <c r="O19">
        <f>H19</f>
        <v>85000</v>
      </c>
      <c r="P19">
        <f>E19*O19</f>
        <v>85000</v>
      </c>
      <c r="Q19" s="13">
        <f>I19</f>
        <v>100000</v>
      </c>
      <c r="R19" s="13">
        <f>E19*Q19</f>
        <v>100000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D20" t="s">
        <v>124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125</v>
      </c>
      <c r="E23" s="4">
        <v>1</v>
      </c>
      <c r="G23" s="13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25" t="s">
        <v>85</v>
      </c>
      <c r="U23" s="25"/>
      <c r="V23" s="25"/>
      <c r="W23" s="25"/>
      <c r="X23" s="25"/>
    </row>
    <row r="24" spans="1:24" x14ac:dyDescent="0.3">
      <c r="A24" s="4">
        <v>4</v>
      </c>
      <c r="B24" t="s">
        <v>101</v>
      </c>
      <c r="D24" t="s">
        <v>126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72500+1500+6800+4200</f>
        <v>85000</v>
      </c>
      <c r="P24">
        <f>E24*O24</f>
        <v>85000</v>
      </c>
      <c r="Q24" s="13">
        <f>O24</f>
        <v>85000</v>
      </c>
      <c r="R24" s="13">
        <f>E24*Q24</f>
        <v>85000</v>
      </c>
      <c r="T24" s="25" t="s">
        <v>85</v>
      </c>
      <c r="U24" s="25"/>
      <c r="V24" s="25"/>
      <c r="W24" s="25"/>
      <c r="X24" s="25"/>
    </row>
    <row r="25" spans="1:24" x14ac:dyDescent="0.3">
      <c r="A25" s="4">
        <v>5</v>
      </c>
      <c r="B25" t="s">
        <v>27</v>
      </c>
      <c r="E25" s="4">
        <v>1</v>
      </c>
      <c r="G25" s="13">
        <f>26000+500</f>
        <v>26500</v>
      </c>
      <c r="H25">
        <f t="shared" si="0"/>
        <v>26500</v>
      </c>
      <c r="I25">
        <f>G25</f>
        <v>26500</v>
      </c>
      <c r="J25">
        <f>E25*I25</f>
        <v>26500</v>
      </c>
      <c r="K25" t="s">
        <v>26</v>
      </c>
      <c r="L25">
        <f>J25</f>
        <v>26500</v>
      </c>
      <c r="M25" t="s">
        <v>26</v>
      </c>
      <c r="N25">
        <f>L25</f>
        <v>26500</v>
      </c>
      <c r="O25" s="13">
        <f>16500+500</f>
        <v>17000</v>
      </c>
      <c r="P25">
        <f>E25*O25</f>
        <v>17000</v>
      </c>
      <c r="Q25" s="13">
        <f>G25</f>
        <v>26500</v>
      </c>
      <c r="R25" s="13">
        <f>E25*Q25</f>
        <v>26500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121</v>
      </c>
      <c r="E27" s="4">
        <v>1</v>
      </c>
      <c r="G27" s="18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120000</v>
      </c>
      <c r="P27">
        <f>E27*O27</f>
        <v>120000</v>
      </c>
      <c r="Q27" s="13">
        <f>P27</f>
        <v>120000</v>
      </c>
      <c r="R27" s="13">
        <f>E27*Q27</f>
        <v>120000</v>
      </c>
      <c r="S27" t="s">
        <v>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">
      <c r="A29" s="4">
        <v>6</v>
      </c>
      <c r="B29" t="s">
        <v>103</v>
      </c>
      <c r="C29" t="s">
        <v>122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1">K29*E29</f>
        <v>8994.7999999999993</v>
      </c>
      <c r="M29">
        <f>K29</f>
        <v>113</v>
      </c>
      <c r="N29" s="15">
        <f t="shared" ref="N29:N42" si="2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127</v>
      </c>
      <c r="D30" t="s">
        <v>72</v>
      </c>
      <c r="E30" s="10">
        <f>(((R14/1000)*2)+2)*6</f>
        <v>226.79999999999998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17463.599999999999</v>
      </c>
      <c r="Q30" s="13">
        <f>O30</f>
        <v>77</v>
      </c>
      <c r="R30" s="14">
        <f>Q30*E30</f>
        <v>17463.599999999999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80000</v>
      </c>
      <c r="H32">
        <f t="shared" si="0"/>
        <v>80000</v>
      </c>
      <c r="I32">
        <f>H32</f>
        <v>80000</v>
      </c>
      <c r="J32">
        <f>E32*I32</f>
        <v>80000</v>
      </c>
      <c r="K32" t="s">
        <v>26</v>
      </c>
      <c r="L32">
        <f>J32</f>
        <v>80000</v>
      </c>
      <c r="M32" t="s">
        <v>26</v>
      </c>
      <c r="N32">
        <f>L32</f>
        <v>80000</v>
      </c>
      <c r="O32">
        <f>N32</f>
        <v>80000</v>
      </c>
      <c r="P32">
        <f>E32*O32</f>
        <v>80000</v>
      </c>
      <c r="Q32" s="13">
        <f>P32</f>
        <v>80000</v>
      </c>
      <c r="R32" s="13">
        <f>E32*Q32</f>
        <v>80000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56.699999999999996</v>
      </c>
      <c r="G33" s="15">
        <f>(E33*O30)+4000+1000</f>
        <v>9365.9</v>
      </c>
      <c r="H33" s="15">
        <f>G33</f>
        <v>9365.9</v>
      </c>
      <c r="I33" s="15">
        <f>H33</f>
        <v>9365.9</v>
      </c>
      <c r="J33" s="15">
        <f>I33</f>
        <v>9365.9</v>
      </c>
      <c r="K33" s="15" t="s">
        <v>26</v>
      </c>
      <c r="L33" s="15">
        <f>J33</f>
        <v>9365.9</v>
      </c>
      <c r="M33" s="15" t="s">
        <v>26</v>
      </c>
      <c r="N33" s="15">
        <f>L33</f>
        <v>9365.9</v>
      </c>
      <c r="O33" s="15">
        <f>J33</f>
        <v>9365.9</v>
      </c>
      <c r="P33" s="15">
        <f>O33</f>
        <v>9365.9</v>
      </c>
      <c r="Q33" s="14">
        <f>P33</f>
        <v>9365.9</v>
      </c>
      <c r="R33" s="14">
        <f>Q33</f>
        <v>9365.9</v>
      </c>
    </row>
    <row r="34" spans="1:21" x14ac:dyDescent="0.3">
      <c r="A34" s="4">
        <v>10</v>
      </c>
      <c r="B34" t="s">
        <v>106</v>
      </c>
      <c r="D34" s="14">
        <f>15.5*55*(20+2)</f>
        <v>18755</v>
      </c>
      <c r="E34" s="4">
        <v>1</v>
      </c>
      <c r="G34" s="15">
        <f>D34</f>
        <v>18755</v>
      </c>
      <c r="H34" s="15">
        <f t="shared" si="0"/>
        <v>18755</v>
      </c>
      <c r="I34" s="15">
        <f>H34</f>
        <v>18755</v>
      </c>
      <c r="J34" s="15">
        <f>E34*I34</f>
        <v>18755</v>
      </c>
      <c r="K34" s="15" t="s">
        <v>26</v>
      </c>
      <c r="L34" s="15">
        <f>J34</f>
        <v>18755</v>
      </c>
      <c r="M34" s="15" t="s">
        <v>26</v>
      </c>
      <c r="N34" s="15">
        <f>L34</f>
        <v>18755</v>
      </c>
      <c r="O34" s="15">
        <f>J34</f>
        <v>18755</v>
      </c>
      <c r="P34" s="15">
        <f>E34*O34</f>
        <v>18755</v>
      </c>
      <c r="Q34" s="14">
        <f>P34</f>
        <v>18755</v>
      </c>
      <c r="R34" s="14">
        <f>E34*Q34</f>
        <v>18755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19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19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19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120</v>
      </c>
      <c r="D39" s="19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119</v>
      </c>
      <c r="D40" s="19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128</v>
      </c>
      <c r="E41" s="4">
        <v>1</v>
      </c>
      <c r="F41" s="9"/>
      <c r="G41" s="8">
        <v>44864</v>
      </c>
      <c r="H41" s="8">
        <f t="shared" si="0"/>
        <v>44864</v>
      </c>
      <c r="I41" s="1">
        <v>60994</v>
      </c>
      <c r="J41" s="8">
        <f>E41*I41</f>
        <v>60994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44864</v>
      </c>
      <c r="P41" s="8">
        <f>E41*O41</f>
        <v>44864</v>
      </c>
      <c r="Q41" s="1">
        <f>I41</f>
        <v>60994</v>
      </c>
      <c r="R41" s="1">
        <f>E41*Q41</f>
        <v>60994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128</v>
      </c>
      <c r="E42" s="9">
        <f>G3</f>
        <v>4</v>
      </c>
      <c r="F42" s="9"/>
      <c r="G42" s="8">
        <v>18754</v>
      </c>
      <c r="H42" s="8">
        <f t="shared" si="0"/>
        <v>75016</v>
      </c>
      <c r="I42" s="1">
        <v>41731</v>
      </c>
      <c r="J42" s="8">
        <f>E42*I42</f>
        <v>166924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18754</v>
      </c>
      <c r="P42" s="8">
        <f>E42*O42</f>
        <v>75016</v>
      </c>
      <c r="Q42" s="1">
        <f>I42+2000</f>
        <v>43731</v>
      </c>
      <c r="R42" s="1">
        <f>E42*Q42</f>
        <v>174924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 s="1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f>7000</f>
        <v>7000</v>
      </c>
      <c r="H44">
        <f t="shared" si="0"/>
        <v>7000</v>
      </c>
      <c r="I44" s="8">
        <f>G44</f>
        <v>7000</v>
      </c>
      <c r="J44">
        <f>E44*I44</f>
        <v>7000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7000</v>
      </c>
      <c r="P44">
        <f>E44*O44</f>
        <v>7000</v>
      </c>
      <c r="Q44" s="13">
        <f>G44</f>
        <v>7000</v>
      </c>
      <c r="R44" s="13">
        <f>E44*Q44</f>
        <v>7000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7000</v>
      </c>
      <c r="H45">
        <f>G45*E45</f>
        <v>7000</v>
      </c>
      <c r="I45" s="8">
        <f>G45</f>
        <v>7000</v>
      </c>
      <c r="J45">
        <f>I45*E45</f>
        <v>7000</v>
      </c>
      <c r="L45">
        <f>J45</f>
        <v>7000</v>
      </c>
      <c r="N45">
        <f>L45</f>
        <v>7000</v>
      </c>
      <c r="O45">
        <f>I45</f>
        <v>7000</v>
      </c>
      <c r="P45">
        <f>O45*E45</f>
        <v>7000</v>
      </c>
      <c r="Q45" s="13">
        <f>O45</f>
        <v>7000</v>
      </c>
      <c r="R45" s="13">
        <f>Q45*E45</f>
        <v>7000</v>
      </c>
    </row>
    <row r="46" spans="1:21" x14ac:dyDescent="0.3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698360.5</v>
      </c>
      <c r="J47" s="15">
        <f>SUM(J16:J46)</f>
        <v>818898.5</v>
      </c>
      <c r="L47" s="15">
        <f>SUM(L16:L46)</f>
        <v>627180.5</v>
      </c>
      <c r="N47" s="15">
        <f>SUM(N16:N46)</f>
        <v>756980.5</v>
      </c>
      <c r="P47" s="15">
        <f>SUM(P16:P46)</f>
        <v>764329.29999999993</v>
      </c>
      <c r="R47" s="14">
        <f>SUM(R16:R46)</f>
        <v>904867.29999999993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14000</v>
      </c>
      <c r="H48">
        <f>G48*E48</f>
        <v>56000</v>
      </c>
      <c r="I48" s="8">
        <f>G48</f>
        <v>14000</v>
      </c>
      <c r="J48">
        <f>E48*I48</f>
        <v>56000</v>
      </c>
      <c r="K48">
        <f>I48</f>
        <v>14000</v>
      </c>
      <c r="L48">
        <f>K48*E48</f>
        <v>56000</v>
      </c>
      <c r="M48">
        <f>K48</f>
        <v>14000</v>
      </c>
      <c r="N48">
        <f>E48*M48</f>
        <v>56000</v>
      </c>
      <c r="O48">
        <f>I48</f>
        <v>14000</v>
      </c>
      <c r="P48">
        <f>E48*O48</f>
        <v>56000</v>
      </c>
      <c r="Q48" s="13">
        <f>O48</f>
        <v>14000</v>
      </c>
      <c r="R48" s="13">
        <f>E48*Q48</f>
        <v>56000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34918.025000000001</v>
      </c>
      <c r="H50" s="15">
        <f>G50*E50</f>
        <v>34918.025000000001</v>
      </c>
      <c r="I50" s="15">
        <f>J47*5%</f>
        <v>40944.925000000003</v>
      </c>
      <c r="J50" s="15">
        <f>E50*I50</f>
        <v>40944.925000000003</v>
      </c>
      <c r="K50" s="15">
        <f>L47*5%</f>
        <v>31359.025000000001</v>
      </c>
      <c r="L50" s="15">
        <f>K50*E50</f>
        <v>31359.025000000001</v>
      </c>
      <c r="M50" s="15">
        <f>N47*5%</f>
        <v>37849.025000000001</v>
      </c>
      <c r="N50" s="15">
        <f>E50*M50</f>
        <v>37849.025000000001</v>
      </c>
      <c r="O50" s="15">
        <f>P47*5%</f>
        <v>38216.464999999997</v>
      </c>
      <c r="P50" s="15">
        <f>E50*O50</f>
        <v>38216.464999999997</v>
      </c>
      <c r="Q50" s="14">
        <f>R47*5%</f>
        <v>45243.364999999998</v>
      </c>
      <c r="R50" s="14">
        <f>E50*Q50</f>
        <v>45243.364999999998</v>
      </c>
    </row>
    <row r="51" spans="1:18" x14ac:dyDescent="0.3">
      <c r="D51" t="s">
        <v>10</v>
      </c>
      <c r="H51" s="15">
        <f>H47+H48+H49+H50</f>
        <v>801278.52500000002</v>
      </c>
      <c r="J51" s="15">
        <f>J47+J48+J49+J50</f>
        <v>927843.42500000005</v>
      </c>
      <c r="L51" s="15">
        <f>L47+L48+L49+L50</f>
        <v>726539.52500000002</v>
      </c>
      <c r="N51" s="15">
        <f>N47+N48+N49+N50</f>
        <v>862829.52500000002</v>
      </c>
      <c r="P51" s="15">
        <f>P47+P48+P49+P50</f>
        <v>870545.7649999999</v>
      </c>
      <c r="R51" s="14">
        <f>R47+R48+R49+R50</f>
        <v>1018110.6649999999</v>
      </c>
    </row>
    <row r="52" spans="1:18" x14ac:dyDescent="0.3">
      <c r="B52" t="s">
        <v>2</v>
      </c>
      <c r="H52" s="15">
        <f>H51*20%</f>
        <v>160255.70500000002</v>
      </c>
      <c r="J52" s="15">
        <f>J51*20%</f>
        <v>185568.68500000003</v>
      </c>
      <c r="L52" s="15">
        <f>L51*20%</f>
        <v>145307.905</v>
      </c>
      <c r="N52" s="15">
        <f>N51*20%</f>
        <v>172565.90500000003</v>
      </c>
      <c r="P52" s="15">
        <f>P51*20%</f>
        <v>174109.15299999999</v>
      </c>
      <c r="R52" s="15">
        <f>R51*20%</f>
        <v>203622.133</v>
      </c>
    </row>
    <row r="53" spans="1:18" x14ac:dyDescent="0.3">
      <c r="B53" t="s">
        <v>3</v>
      </c>
      <c r="H53" s="15">
        <f>H52+H51</f>
        <v>961534.23</v>
      </c>
      <c r="J53" s="15">
        <f>J52+J51</f>
        <v>1113412.1100000001</v>
      </c>
      <c r="L53" s="15">
        <f>L52+L51</f>
        <v>871847.43</v>
      </c>
      <c r="N53" s="15">
        <f>N52+N51</f>
        <v>1035395.43</v>
      </c>
      <c r="P53" s="15">
        <f>P52+P51</f>
        <v>1044654.9179999998</v>
      </c>
      <c r="R53" s="14">
        <f>R52+R51</f>
        <v>1221732.798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2026-05-28T18:30:29Z</dcterms:modified>
</cp:coreProperties>
</file>