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1D3D37AB-5B7F-4EA4-9F63-622BA6EF9E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" l="1"/>
  <c r="P52" i="3"/>
  <c r="N52" i="3"/>
  <c r="L52" i="3"/>
  <c r="J52" i="3"/>
  <c r="H52" i="3"/>
  <c r="H53" i="3"/>
  <c r="I42" i="3"/>
  <c r="I41" i="3"/>
  <c r="J41" i="3" s="1"/>
  <c r="H49" i="3"/>
  <c r="I49" i="3" s="1"/>
  <c r="I48" i="3"/>
  <c r="K48" i="3" s="1"/>
  <c r="H48" i="3"/>
  <c r="E48" i="3"/>
  <c r="R46" i="3"/>
  <c r="P46" i="3"/>
  <c r="N46" i="3"/>
  <c r="L46" i="3"/>
  <c r="J46" i="3"/>
  <c r="H46" i="3"/>
  <c r="J45" i="3"/>
  <c r="L45" i="3" s="1"/>
  <c r="N45" i="3" s="1"/>
  <c r="I45" i="3"/>
  <c r="O45" i="3" s="1"/>
  <c r="H45" i="3"/>
  <c r="D45" i="3"/>
  <c r="G44" i="3"/>
  <c r="H44" i="3" s="1"/>
  <c r="C44" i="3"/>
  <c r="O43" i="3"/>
  <c r="Q43" i="3" s="1"/>
  <c r="R43" i="3" s="1"/>
  <c r="I43" i="3"/>
  <c r="J43" i="3" s="1"/>
  <c r="L43" i="3" s="1"/>
  <c r="N43" i="3" s="1"/>
  <c r="H43" i="3"/>
  <c r="Q42" i="3"/>
  <c r="O42" i="3"/>
  <c r="P42" i="3" s="1"/>
  <c r="M42" i="3"/>
  <c r="K42" i="3"/>
  <c r="E42" i="3"/>
  <c r="H42" i="3" s="1"/>
  <c r="P41" i="3"/>
  <c r="O41" i="3"/>
  <c r="M41" i="3"/>
  <c r="N41" i="3" s="1"/>
  <c r="K41" i="3"/>
  <c r="L41" i="3" s="1"/>
  <c r="H41" i="3"/>
  <c r="G40" i="3"/>
  <c r="R39" i="3"/>
  <c r="O39" i="3"/>
  <c r="P39" i="3" s="1"/>
  <c r="I39" i="3"/>
  <c r="J39" i="3" s="1"/>
  <c r="L39" i="3" s="1"/>
  <c r="N39" i="3" s="1"/>
  <c r="H39" i="3"/>
  <c r="G39" i="3"/>
  <c r="Q39" i="3" s="1"/>
  <c r="G38" i="3"/>
  <c r="G37" i="3"/>
  <c r="H37" i="3" s="1"/>
  <c r="G36" i="3"/>
  <c r="Q36" i="3" s="1"/>
  <c r="R36" i="3" s="1"/>
  <c r="N35" i="3"/>
  <c r="G35" i="3"/>
  <c r="I35" i="3" s="1"/>
  <c r="J35" i="3" s="1"/>
  <c r="D34" i="3"/>
  <c r="G34" i="3" s="1"/>
  <c r="H34" i="3" s="1"/>
  <c r="I34" i="3" s="1"/>
  <c r="J34" i="3" s="1"/>
  <c r="P32" i="3"/>
  <c r="Q32" i="3" s="1"/>
  <c r="R32" i="3" s="1"/>
  <c r="O32" i="3"/>
  <c r="H32" i="3"/>
  <c r="I32" i="3" s="1"/>
  <c r="J32" i="3" s="1"/>
  <c r="L32" i="3" s="1"/>
  <c r="N32" i="3" s="1"/>
  <c r="I31" i="3"/>
  <c r="K31" i="3" s="1"/>
  <c r="Q30" i="3"/>
  <c r="I29" i="3"/>
  <c r="K29" i="3" s="1"/>
  <c r="M29" i="3" s="1"/>
  <c r="I28" i="3"/>
  <c r="J28" i="3" s="1"/>
  <c r="O28" i="3" s="1"/>
  <c r="P28" i="3" s="1"/>
  <c r="Q28" i="3" s="1"/>
  <c r="R28" i="3" s="1"/>
  <c r="H28" i="3"/>
  <c r="P27" i="3"/>
  <c r="Q27" i="3" s="1"/>
  <c r="R27" i="3" s="1"/>
  <c r="G27" i="3"/>
  <c r="H27" i="3" s="1"/>
  <c r="I27" i="3" s="1"/>
  <c r="G26" i="3"/>
  <c r="K26" i="3" s="1"/>
  <c r="L26" i="3" s="1"/>
  <c r="G25" i="3"/>
  <c r="Q25" i="3" s="1"/>
  <c r="R25" i="3" s="1"/>
  <c r="O24" i="3"/>
  <c r="Q24" i="3" s="1"/>
  <c r="R24" i="3" s="1"/>
  <c r="N24" i="3"/>
  <c r="L24" i="3"/>
  <c r="H24" i="3"/>
  <c r="G23" i="3"/>
  <c r="H23" i="3" s="1"/>
  <c r="I22" i="3"/>
  <c r="J22" i="3" s="1"/>
  <c r="L22" i="3" s="1"/>
  <c r="N22" i="3" s="1"/>
  <c r="H22" i="3"/>
  <c r="I21" i="3"/>
  <c r="J21" i="3" s="1"/>
  <c r="L21" i="3" s="1"/>
  <c r="N21" i="3" s="1"/>
  <c r="H21" i="3"/>
  <c r="R20" i="3"/>
  <c r="P20" i="3"/>
  <c r="N20" i="3"/>
  <c r="L20" i="3"/>
  <c r="J20" i="3"/>
  <c r="H20" i="3"/>
  <c r="Q19" i="3"/>
  <c r="R19" i="3" s="1"/>
  <c r="M19" i="3"/>
  <c r="N19" i="3" s="1"/>
  <c r="J19" i="3"/>
  <c r="H19" i="3"/>
  <c r="L19" i="3" s="1"/>
  <c r="O18" i="3"/>
  <c r="Q18" i="3" s="1"/>
  <c r="R18" i="3" s="1"/>
  <c r="M17" i="3"/>
  <c r="K17" i="3"/>
  <c r="I17" i="3"/>
  <c r="J17" i="3" s="1"/>
  <c r="L17" i="3" s="1"/>
  <c r="N17" i="3" s="1"/>
  <c r="H17" i="3"/>
  <c r="Q16" i="3"/>
  <c r="R16" i="3" s="1"/>
  <c r="O16" i="3"/>
  <c r="P16" i="3" s="1"/>
  <c r="K16" i="3"/>
  <c r="L16" i="3" s="1"/>
  <c r="N16" i="3" s="1"/>
  <c r="J16" i="3"/>
  <c r="G16" i="3"/>
  <c r="H16" i="3" s="1"/>
  <c r="R14" i="3"/>
  <c r="D36" i="3" s="1"/>
  <c r="K10" i="3"/>
  <c r="K11" i="3" s="1"/>
  <c r="K12" i="3" s="1"/>
  <c r="J10" i="3"/>
  <c r="J9" i="3"/>
  <c r="J8" i="3"/>
  <c r="J7" i="3"/>
  <c r="J6" i="3"/>
  <c r="J5" i="3"/>
  <c r="J4" i="3"/>
  <c r="J3" i="3"/>
  <c r="J2" i="3"/>
  <c r="P45" i="3" l="1"/>
  <c r="Q45" i="3"/>
  <c r="R45" i="3" s="1"/>
  <c r="I25" i="3"/>
  <c r="J25" i="3" s="1"/>
  <c r="L25" i="3" s="1"/>
  <c r="N25" i="3" s="1"/>
  <c r="H36" i="3"/>
  <c r="O48" i="3"/>
  <c r="Q48" i="3" s="1"/>
  <c r="O36" i="3"/>
  <c r="P36" i="3" s="1"/>
  <c r="P43" i="3"/>
  <c r="O25" i="3"/>
  <c r="P25" i="3" s="1"/>
  <c r="K19" i="3"/>
  <c r="H25" i="3"/>
  <c r="I36" i="3"/>
  <c r="J36" i="3" s="1"/>
  <c r="L36" i="3" s="1"/>
  <c r="N36" i="3" s="1"/>
  <c r="L42" i="3"/>
  <c r="O44" i="3"/>
  <c r="P44" i="3" s="1"/>
  <c r="I44" i="3"/>
  <c r="J44" i="3" s="1"/>
  <c r="P18" i="3"/>
  <c r="P24" i="3"/>
  <c r="I16" i="3"/>
  <c r="Q41" i="3"/>
  <c r="R41" i="3" s="1"/>
  <c r="M27" i="3"/>
  <c r="N27" i="3" s="1"/>
  <c r="J27" i="3"/>
  <c r="L27" i="3" s="1"/>
  <c r="M48" i="3"/>
  <c r="N48" i="3" s="1"/>
  <c r="L48" i="3"/>
  <c r="M31" i="3"/>
  <c r="L34" i="3"/>
  <c r="N34" i="3" s="1"/>
  <c r="O34" i="3"/>
  <c r="P34" i="3" s="1"/>
  <c r="Q34" i="3" s="1"/>
  <c r="R34" i="3" s="1"/>
  <c r="K49" i="3"/>
  <c r="L49" i="3" s="1"/>
  <c r="M49" i="3" s="1"/>
  <c r="N49" i="3" s="1"/>
  <c r="O49" i="3" s="1"/>
  <c r="P49" i="3" s="1"/>
  <c r="Q49" i="3" s="1"/>
  <c r="R49" i="3" s="1"/>
  <c r="J49" i="3"/>
  <c r="E17" i="3"/>
  <c r="O21" i="3"/>
  <c r="O35" i="3"/>
  <c r="D37" i="3"/>
  <c r="D38" i="3"/>
  <c r="Q26" i="3"/>
  <c r="R26" i="3" s="1"/>
  <c r="M26" i="3"/>
  <c r="N26" i="3" s="1"/>
  <c r="I26" i="3"/>
  <c r="J26" i="3" s="1"/>
  <c r="L28" i="3"/>
  <c r="N28" i="3" s="1"/>
  <c r="E29" i="3"/>
  <c r="L29" i="3"/>
  <c r="E30" i="3"/>
  <c r="O31" i="3"/>
  <c r="Q31" i="3" s="1"/>
  <c r="H35" i="3"/>
  <c r="O37" i="3"/>
  <c r="P37" i="3" s="1"/>
  <c r="O38" i="3"/>
  <c r="P38" i="3" s="1"/>
  <c r="I38" i="3"/>
  <c r="J38" i="3" s="1"/>
  <c r="L38" i="3" s="1"/>
  <c r="N38" i="3" s="1"/>
  <c r="O40" i="3"/>
  <c r="P40" i="3" s="1"/>
  <c r="I40" i="3"/>
  <c r="J40" i="3" s="1"/>
  <c r="L40" i="3" s="1"/>
  <c r="N40" i="3" s="1"/>
  <c r="P48" i="3"/>
  <c r="E16" i="3"/>
  <c r="H26" i="3"/>
  <c r="I37" i="3"/>
  <c r="J37" i="3" s="1"/>
  <c r="L37" i="3" s="1"/>
  <c r="N37" i="3" s="1"/>
  <c r="H38" i="3"/>
  <c r="H40" i="3"/>
  <c r="M16" i="3"/>
  <c r="O19" i="3"/>
  <c r="P19" i="3" s="1"/>
  <c r="O22" i="3"/>
  <c r="I23" i="3"/>
  <c r="J23" i="3" s="1"/>
  <c r="L23" i="3" s="1"/>
  <c r="N23" i="3" s="1"/>
  <c r="O26" i="3"/>
  <c r="P26" i="3" s="1"/>
  <c r="E31" i="3"/>
  <c r="Q37" i="3"/>
  <c r="R37" i="3" s="1"/>
  <c r="Q38" i="3"/>
  <c r="R38" i="3" s="1"/>
  <c r="Q40" i="3"/>
  <c r="R40" i="3" s="1"/>
  <c r="R42" i="3"/>
  <c r="N42" i="3"/>
  <c r="J42" i="3"/>
  <c r="Q44" i="3"/>
  <c r="R44" i="3" s="1"/>
  <c r="R48" i="3"/>
  <c r="J48" i="3"/>
  <c r="P35" i="3" l="1"/>
  <c r="Q35" i="3"/>
  <c r="R35" i="3" s="1"/>
  <c r="N29" i="3"/>
  <c r="J29" i="3"/>
  <c r="P29" i="3"/>
  <c r="H29" i="3"/>
  <c r="R29" i="3"/>
  <c r="Q21" i="3"/>
  <c r="R21" i="3" s="1"/>
  <c r="P21" i="3"/>
  <c r="P22" i="3"/>
  <c r="Q22" i="3"/>
  <c r="R22" i="3" s="1"/>
  <c r="R17" i="3"/>
  <c r="P17" i="3"/>
  <c r="E18" i="3"/>
  <c r="P31" i="3"/>
  <c r="H31" i="3"/>
  <c r="R31" i="3"/>
  <c r="J31" i="3"/>
  <c r="N31" i="3"/>
  <c r="E33" i="3"/>
  <c r="G33" i="3" s="1"/>
  <c r="H33" i="3" s="1"/>
  <c r="I33" i="3" s="1"/>
  <c r="J33" i="3" s="1"/>
  <c r="P30" i="3"/>
  <c r="H30" i="3"/>
  <c r="L30" i="3"/>
  <c r="J30" i="3"/>
  <c r="N30" i="3"/>
  <c r="L31" i="3"/>
  <c r="R30" i="3"/>
  <c r="H47" i="3" l="1"/>
  <c r="G50" i="3"/>
  <c r="H50" i="3" s="1"/>
  <c r="H51" i="3" s="1"/>
  <c r="P47" i="3"/>
  <c r="N18" i="3"/>
  <c r="L18" i="3"/>
  <c r="J18" i="3"/>
  <c r="J47" i="3" s="1"/>
  <c r="L33" i="3"/>
  <c r="N33" i="3" s="1"/>
  <c r="O33" i="3"/>
  <c r="P33" i="3" s="1"/>
  <c r="Q33" i="3" s="1"/>
  <c r="R33" i="3" s="1"/>
  <c r="R47" i="3"/>
  <c r="O50" i="3" l="1"/>
  <c r="P50" i="3" s="1"/>
  <c r="P51" i="3" s="1"/>
  <c r="P53" i="3" s="1"/>
  <c r="I50" i="3"/>
  <c r="J50" i="3" s="1"/>
  <c r="J51" i="3" s="1"/>
  <c r="J53" i="3" s="1"/>
  <c r="Q50" i="3"/>
  <c r="R50" i="3" s="1"/>
  <c r="R51" i="3" s="1"/>
  <c r="R53" i="3" s="1"/>
  <c r="L47" i="3"/>
  <c r="N47" i="3"/>
  <c r="K50" i="3" l="1"/>
  <c r="L50" i="3" s="1"/>
  <c r="L51" i="3"/>
  <c r="L53" i="3" s="1"/>
  <c r="N51" i="3"/>
  <c r="N53" i="3" s="1"/>
  <c r="M50" i="3"/>
  <c r="N50" i="3" s="1"/>
</calcChain>
</file>

<file path=xl/sharedStrings.xml><?xml version="1.0" encoding="utf-8"?>
<sst xmlns="http://schemas.openxmlformats.org/spreadsheetml/2006/main" count="180" uniqueCount="129">
  <si>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</si>
  <si>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</si>
  <si>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</si>
  <si>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</si>
  <si>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</si>
  <si>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</si>
  <si>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</si>
  <si>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</si>
  <si>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</si>
  <si>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</si>
  <si>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</si>
  <si>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</si>
  <si>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</si>
  <si>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</si>
  <si>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</si>
  <si>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</si>
  <si>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</si>
  <si>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</si>
  <si>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</si>
  <si>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</si>
  <si>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</si>
  <si>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</si>
  <si>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</si>
  <si>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</si>
  <si>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</si>
  <si>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</si>
  <si>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</si>
  <si>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</si>
  <si>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</si>
  <si>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</si>
  <si>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</si>
  <si>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</si>
  <si>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</si>
  <si>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</si>
  <si>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</si>
  <si>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</si>
  <si>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</si>
  <si>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</si>
  <si>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</si>
  <si>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</si>
  <si>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</si>
  <si>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</si>
  <si>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</si>
  <si>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</si>
  <si>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</si>
  <si>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</si>
  <si>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</si>
  <si>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</si>
  <si>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</si>
  <si>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</si>
  <si>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</si>
  <si>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</si>
  <si>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</si>
  <si>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</si>
  <si>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</si>
  <si>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</si>
  <si>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</si>
  <si>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</si>
  <si>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</si>
  <si>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</si>
  <si>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</si>
  <si>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</si>
  <si>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</si>
  <si>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</si>
  <si>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</si>
  <si>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</si>
  <si>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</si>
  <si>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</si>
  <si>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</si>
  <si>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</si>
  <si>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</si>
  <si>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</si>
  <si>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</si>
  <si>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</si>
  <si>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</si>
  <si>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</si>
  <si>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</si>
  <si>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</si>
  <si>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</si>
  <si>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</si>
  <si>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</si>
  <si>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</si>
  <si>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</si>
  <si>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</si>
  <si>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</si>
  <si>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</si>
  <si>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</si>
  <si>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</si>
  <si>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</si>
  <si>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</si>
  <si>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</si>
  <si>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</si>
  <si>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</si>
  <si>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</si>
  <si>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</si>
  <si>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</si>
  <si>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</si>
  <si>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</si>
  <si>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</si>
  <si>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</si>
  <si>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</si>
  <si>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</si>
  <si>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</si>
  <si>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</si>
  <si>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</si>
  <si>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</si>
  <si>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</si>
  <si>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</si>
  <si>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</si>
  <si>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</si>
  <si>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</si>
  <si>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</si>
  <si>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</si>
  <si>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</si>
  <si>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</si>
  <si>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</si>
  <si>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</si>
  <si>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</si>
  <si>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</si>
  <si>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</si>
  <si>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</si>
  <si>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</si>
  <si>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</si>
  <si>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</si>
  <si>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</si>
  <si>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</si>
  <si>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</si>
  <si>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openloop</t>
  </si>
  <si>
    <t>7.5hp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</si>
</sst>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topLeftCell="A34" workbookViewId="0">
      <selection activeCell="J56" sqref="J56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88</v>
      </c>
      <c r="J1" s="3" t="s">
        <v>100</v>
      </c>
      <c r="K1" t="s">
        <v>123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">
      <c r="B2" t="s">
        <v>92</v>
      </c>
      <c r="E2" s="4" t="s">
        <v>26</v>
      </c>
      <c r="G2" s="4">
        <v>8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">
      <c r="B3" t="s">
        <v>88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">
      <c r="B4" t="s">
        <v>93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">
      <c r="B5" t="s">
        <v>94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">
      <c r="B6" t="s">
        <v>95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">
      <c r="B7" t="s">
        <v>96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">
      <c r="B8" t="s">
        <v>97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x14ac:dyDescent="0.3">
      <c r="B9" t="s">
        <v>98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x14ac:dyDescent="0.3">
      <c r="B10" t="s">
        <v>99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35">
      <c r="K13" s="7"/>
      <c r="Q13" s="2" t="s">
        <v>54</v>
      </c>
      <c r="R13" s="2">
        <v>4800</v>
      </c>
      <c r="V13" s="4"/>
    </row>
    <row r="14" spans="1:24" ht="15" thickBot="1" x14ac:dyDescent="0.35">
      <c r="K14" s="22" t="s">
        <v>121</v>
      </c>
      <c r="L14" s="23"/>
      <c r="M14" s="22" t="s">
        <v>121</v>
      </c>
      <c r="N14" s="24"/>
      <c r="Q14" s="2" t="s">
        <v>55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101</v>
      </c>
      <c r="C16" t="s">
        <v>119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4"/>
    </row>
    <row r="17" spans="1:24" x14ac:dyDescent="0.3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x14ac:dyDescent="0.3">
      <c r="A18" s="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4"/>
    </row>
    <row r="19" spans="1:24" x14ac:dyDescent="0.3">
      <c r="A19" s="4">
        <v>3</v>
      </c>
      <c r="B19" t="s">
        <v>102</v>
      </c>
      <c r="C19" t="s">
        <v>71</v>
      </c>
      <c r="E19" s="4">
        <v>1</v>
      </c>
      <c r="G19" s="13">
        <v>50000</v>
      </c>
      <c r="H19">
        <f t="shared" ref="H19:H46" si="0">G19*E19</f>
        <v>50000</v>
      </c>
      <c r="I19" s="13">
        <v>80000</v>
      </c>
      <c r="J19">
        <f>E19*I19</f>
        <v>80000</v>
      </c>
      <c r="K19">
        <f>H19</f>
        <v>50000</v>
      </c>
      <c r="L19">
        <f>H19</f>
        <v>50000</v>
      </c>
      <c r="M19">
        <f>I19</f>
        <v>80000</v>
      </c>
      <c r="N19">
        <f>E19*M19</f>
        <v>80000</v>
      </c>
      <c r="O19">
        <f>H19</f>
        <v>50000</v>
      </c>
      <c r="P19">
        <f>E19*O19</f>
        <v>50000</v>
      </c>
      <c r="Q19" s="13">
        <f>I19</f>
        <v>80000</v>
      </c>
      <c r="R19" s="13">
        <f>E19*Q19</f>
        <v>80000</v>
      </c>
      <c r="S19" t="s">
        <v>26</v>
      </c>
      <c r="V19" s="4"/>
    </row>
    <row r="20" spans="1:24" x14ac:dyDescent="0.3">
      <c r="A20" s="4" t="s">
        <v>26</v>
      </c>
      <c r="B20" t="s">
        <v>103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84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">
      <c r="A22" s="4"/>
      <c r="B22" t="s">
        <v>122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104</v>
      </c>
      <c r="D23" t="s">
        <v>127</v>
      </c>
      <c r="E23" s="4">
        <v>1</v>
      </c>
      <c r="G23">
        <f>44500+1500</f>
        <v>46000</v>
      </c>
      <c r="H23">
        <f t="shared" si="0"/>
        <v>46000</v>
      </c>
      <c r="I23">
        <f>G23</f>
        <v>46000</v>
      </c>
      <c r="J23">
        <f>E23*I23</f>
        <v>46000</v>
      </c>
      <c r="K23" t="s">
        <v>26</v>
      </c>
      <c r="L23">
        <f>J23</f>
        <v>46000</v>
      </c>
      <c r="M23" t="s">
        <v>26</v>
      </c>
      <c r="N23">
        <f>L23</f>
        <v>46000</v>
      </c>
      <c r="O23">
        <v>0</v>
      </c>
      <c r="P23">
        <v>0</v>
      </c>
      <c r="Q23" s="13">
        <v>0</v>
      </c>
      <c r="R23" s="13">
        <v>0</v>
      </c>
      <c r="T23" s="25" t="s">
        <v>89</v>
      </c>
      <c r="U23" s="25"/>
      <c r="V23" s="25"/>
      <c r="W23" s="25"/>
      <c r="X23" s="25"/>
    </row>
    <row r="24" spans="1:24" x14ac:dyDescent="0.3">
      <c r="A24" s="4">
        <v>4</v>
      </c>
      <c r="B24" t="s">
        <v>105</v>
      </c>
      <c r="D24" t="s">
        <v>128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5" t="s">
        <v>89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16500+500</f>
        <v>17000</v>
      </c>
      <c r="H25">
        <f t="shared" si="0"/>
        <v>17000</v>
      </c>
      <c r="I25">
        <f>G25</f>
        <v>17000</v>
      </c>
      <c r="J25">
        <f>E25*I25</f>
        <v>17000</v>
      </c>
      <c r="K25" t="s">
        <v>26</v>
      </c>
      <c r="L25">
        <f>J25</f>
        <v>17000</v>
      </c>
      <c r="M25" t="s">
        <v>26</v>
      </c>
      <c r="N25">
        <f>L25</f>
        <v>17000</v>
      </c>
      <c r="O25">
        <f>G25</f>
        <v>17000</v>
      </c>
      <c r="P25">
        <f>E25*O25</f>
        <v>17000</v>
      </c>
      <c r="Q25" s="13">
        <f>G25</f>
        <v>17000</v>
      </c>
      <c r="R25" s="13">
        <f>E25*Q25</f>
        <v>17000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106</v>
      </c>
      <c r="D27" t="s">
        <v>38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86200</v>
      </c>
      <c r="P27">
        <f>E27*O27</f>
        <v>86200</v>
      </c>
      <c r="Q27" s="13">
        <f>P27</f>
        <v>86200</v>
      </c>
      <c r="R27" s="13">
        <f>E27*Q27</f>
        <v>86200</v>
      </c>
      <c r="S27" t="s">
        <v>39</v>
      </c>
      <c r="U27" t="s">
        <v>90</v>
      </c>
    </row>
    <row r="28" spans="1:24" x14ac:dyDescent="0.3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91</v>
      </c>
    </row>
    <row r="29" spans="1:24" x14ac:dyDescent="0.3">
      <c r="A29" s="4">
        <v>6</v>
      </c>
      <c r="B29" t="s">
        <v>107</v>
      </c>
      <c r="C29" t="s">
        <v>74</v>
      </c>
      <c r="D29" t="s">
        <v>75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1">K29*E29</f>
        <v>6746.0999999999995</v>
      </c>
      <c r="M29">
        <f>K29</f>
        <v>113</v>
      </c>
      <c r="N29" s="15">
        <f t="shared" ref="N29:N42" si="2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107</v>
      </c>
      <c r="C30" t="s">
        <v>76</v>
      </c>
      <c r="D30" t="s">
        <v>75</v>
      </c>
      <c r="E30" s="10">
        <f>(((R14/1000)*2)+2)*4</f>
        <v>151.19999999999999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">
      <c r="A31" s="4">
        <v>7</v>
      </c>
      <c r="B31" t="s">
        <v>108</v>
      </c>
      <c r="C31" t="s">
        <v>77</v>
      </c>
      <c r="D31" t="s">
        <v>85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">
      <c r="A33" s="4">
        <v>9</v>
      </c>
      <c r="B33" t="s">
        <v>109</v>
      </c>
      <c r="D33" t="s">
        <v>78</v>
      </c>
      <c r="E33" s="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">
      <c r="A34" s="4">
        <v>10</v>
      </c>
      <c r="B34" t="s">
        <v>110</v>
      </c>
      <c r="D34" s="14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79</v>
      </c>
    </row>
    <row r="35" spans="1:21" x14ac:dyDescent="0.3">
      <c r="A35" s="4">
        <v>11</v>
      </c>
      <c r="B35" t="s">
        <v>111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112</v>
      </c>
      <c r="C36" t="s">
        <v>80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112</v>
      </c>
      <c r="C37" t="s">
        <v>81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112</v>
      </c>
      <c r="C38" t="s">
        <v>82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112</v>
      </c>
      <c r="C39" t="s">
        <v>126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112</v>
      </c>
      <c r="C40" t="s">
        <v>125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113</v>
      </c>
      <c r="D41" s="8" t="s">
        <v>124</v>
      </c>
      <c r="E41" s="4">
        <v>1</v>
      </c>
      <c r="F41" s="9"/>
      <c r="G41" s="16">
        <v>43245</v>
      </c>
      <c r="H41" s="8">
        <f t="shared" si="0"/>
        <v>43245</v>
      </c>
      <c r="I41" s="1">
        <f>57016</f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">
      <c r="A42" s="9">
        <v>14</v>
      </c>
      <c r="B42" s="8" t="s">
        <v>114</v>
      </c>
      <c r="D42" s="8" t="s">
        <v>124</v>
      </c>
      <c r="E42" s="9">
        <f>G3</f>
        <v>4</v>
      </c>
      <c r="F42" s="9"/>
      <c r="G42" s="16">
        <v>17880</v>
      </c>
      <c r="H42" s="8">
        <f t="shared" si="0"/>
        <v>71520</v>
      </c>
      <c r="I42" s="1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">
        <f>I42</f>
        <v>40191</v>
      </c>
      <c r="R42" s="1">
        <f>E42*Q42</f>
        <v>160764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83</v>
      </c>
    </row>
    <row r="44" spans="1:21" x14ac:dyDescent="0.3">
      <c r="A44" s="4">
        <v>18</v>
      </c>
      <c r="B44" t="s">
        <v>115</v>
      </c>
      <c r="C44">
        <f>1500+1500+1000+1000</f>
        <v>5000</v>
      </c>
      <c r="D44" t="s">
        <v>120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116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505993.99999999994</v>
      </c>
      <c r="J47" s="15">
        <f>SUM(J16:J46)</f>
        <v>639009</v>
      </c>
      <c r="L47" s="15">
        <f>SUM(L16:L46)</f>
        <v>444428.99999999994</v>
      </c>
      <c r="N47" s="15">
        <f>SUM(N16:N46)</f>
        <v>589229</v>
      </c>
      <c r="P47" s="15">
        <f>SUM(P16:P46)</f>
        <v>571990.30000000005</v>
      </c>
      <c r="R47" s="14">
        <f>SUM(R16:R46)</f>
        <v>705005.3</v>
      </c>
    </row>
    <row r="48" spans="1:21" x14ac:dyDescent="0.3">
      <c r="A48" s="4">
        <v>20</v>
      </c>
      <c r="B48" t="s">
        <v>86</v>
      </c>
      <c r="D48" t="s">
        <v>87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">
      <c r="A49" s="4">
        <v>21</v>
      </c>
      <c r="B49" t="s">
        <v>117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118</v>
      </c>
      <c r="E50" s="4">
        <v>1</v>
      </c>
      <c r="G50" s="15">
        <f>H47*5%</f>
        <v>25299.699999999997</v>
      </c>
      <c r="H50" s="15">
        <f>G50*E50</f>
        <v>25299.699999999997</v>
      </c>
      <c r="I50" s="15">
        <f>J47*5%</f>
        <v>31950.45</v>
      </c>
      <c r="J50" s="15">
        <f>E50*I50</f>
        <v>31950.45</v>
      </c>
      <c r="K50" s="15">
        <f>L47*5%</f>
        <v>22221.449999999997</v>
      </c>
      <c r="L50" s="15">
        <f>K50*E50</f>
        <v>22221.449999999997</v>
      </c>
      <c r="M50" s="15">
        <f>N47*5%</f>
        <v>29461.45</v>
      </c>
      <c r="N50" s="15">
        <f>E50*M50</f>
        <v>29461.45</v>
      </c>
      <c r="O50" s="15">
        <f>P47*5%</f>
        <v>28599.515000000003</v>
      </c>
      <c r="P50" s="15">
        <f>E50*O50</f>
        <v>28599.515000000003</v>
      </c>
      <c r="Q50" s="14">
        <f>R47*5%</f>
        <v>35250.265000000007</v>
      </c>
      <c r="R50" s="14">
        <f>E50*Q50</f>
        <v>35250.265000000007</v>
      </c>
    </row>
    <row r="51" spans="1:18" x14ac:dyDescent="0.3">
      <c r="D51" t="s">
        <v>10</v>
      </c>
      <c r="H51" s="15">
        <f>H47+H48+H49+H50</f>
        <v>591293.69999999995</v>
      </c>
      <c r="J51" s="15">
        <f>J47+J48+J49+J50</f>
        <v>730959.45</v>
      </c>
      <c r="L51" s="15">
        <f>L47+L48+L49+L50</f>
        <v>526650.44999999995</v>
      </c>
      <c r="N51" s="15">
        <f>N47+N48+N49+N50</f>
        <v>678690.45</v>
      </c>
      <c r="P51" s="15">
        <f>P47+P48+P49+P50</f>
        <v>660589.81500000006</v>
      </c>
      <c r="R51" s="14">
        <f>R47+R48+R49+R50</f>
        <v>800255.56500000006</v>
      </c>
    </row>
    <row r="52" spans="1:18" x14ac:dyDescent="0.3">
      <c r="B52" t="s">
        <v>2</v>
      </c>
      <c r="H52" s="15">
        <f>H51*20%</f>
        <v>118258.73999999999</v>
      </c>
      <c r="J52" s="15">
        <f>J51*20%</f>
        <v>146191.88999999998</v>
      </c>
      <c r="L52" s="15">
        <f>L51*20%</f>
        <v>105330.09</v>
      </c>
      <c r="N52" s="15">
        <f>N51*20%</f>
        <v>135738.09</v>
      </c>
      <c r="P52" s="15">
        <f>P51*20%</f>
        <v>132117.96300000002</v>
      </c>
      <c r="R52" s="15">
        <f>R51*20%</f>
        <v>160051.11300000001</v>
      </c>
    </row>
    <row r="53" spans="1:18" x14ac:dyDescent="0.3">
      <c r="B53" t="s">
        <v>3</v>
      </c>
      <c r="H53" s="15">
        <f>H52+H51</f>
        <v>709552.44</v>
      </c>
      <c r="J53" s="15">
        <f>J52+J51</f>
        <v>877151.34</v>
      </c>
      <c r="L53" s="15">
        <f>L52+L51</f>
        <v>631980.53999999992</v>
      </c>
      <c r="N53" s="15">
        <f>N52+N51</f>
        <v>814428.53999999992</v>
      </c>
      <c r="P53" s="15">
        <f>P52+P51</f>
        <v>792707.77800000005</v>
      </c>
      <c r="R53" s="14">
        <f>R52+R51</f>
        <v>960306.67800000007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2026-05-28T18:11:19Z</dcterms:modified>
</cp:coreProperties>
</file>