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 activeTab="2"/>
  </bookViews>
  <sheets>
    <sheet name="sv" sheetId="1" r:id="rId1"/>
    <sheet name="bv" sheetId="3" r:id="rId2"/>
    <sheet name="RG-BV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4" l="1"/>
  <c r="M42" i="1" l="1"/>
  <c r="M41" i="1"/>
  <c r="M42" i="3"/>
  <c r="M41" i="3"/>
  <c r="M42" i="4"/>
  <c r="M41" i="4"/>
  <c r="K42" i="4"/>
  <c r="K41" i="4"/>
  <c r="K42" i="3"/>
  <c r="K41" i="3"/>
  <c r="K41" i="1"/>
  <c r="K42" i="1"/>
  <c r="H49" i="4" l="1"/>
  <c r="I49" i="4" s="1"/>
  <c r="I48" i="4"/>
  <c r="O48" i="4" s="1"/>
  <c r="Q48" i="4" s="1"/>
  <c r="R48" i="4" s="1"/>
  <c r="E48" i="4"/>
  <c r="P48" i="4" s="1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G44" i="4"/>
  <c r="O44" i="4" s="1"/>
  <c r="P44" i="4" s="1"/>
  <c r="C44" i="4"/>
  <c r="Q43" i="4"/>
  <c r="R43" i="4" s="1"/>
  <c r="P43" i="4"/>
  <c r="O43" i="4"/>
  <c r="J43" i="4"/>
  <c r="L43" i="4" s="1"/>
  <c r="N43" i="4" s="1"/>
  <c r="I43" i="4"/>
  <c r="H43" i="4"/>
  <c r="Q42" i="4"/>
  <c r="R42" i="4" s="1"/>
  <c r="O42" i="4"/>
  <c r="N42" i="4"/>
  <c r="L42" i="4"/>
  <c r="I42" i="4"/>
  <c r="J42" i="4" s="1"/>
  <c r="H42" i="4"/>
  <c r="E42" i="4"/>
  <c r="P42" i="4" s="1"/>
  <c r="Q41" i="4"/>
  <c r="R41" i="4" s="1"/>
  <c r="P41" i="4"/>
  <c r="O41" i="4"/>
  <c r="N41" i="4"/>
  <c r="L41" i="4"/>
  <c r="J41" i="4"/>
  <c r="H41" i="4"/>
  <c r="G40" i="4"/>
  <c r="O40" i="4" s="1"/>
  <c r="P40" i="4" s="1"/>
  <c r="O39" i="4"/>
  <c r="P39" i="4" s="1"/>
  <c r="I39" i="4"/>
  <c r="J39" i="4" s="1"/>
  <c r="L39" i="4" s="1"/>
  <c r="N39" i="4" s="1"/>
  <c r="H39" i="4"/>
  <c r="G39" i="4"/>
  <c r="Q39" i="4" s="1"/>
  <c r="R39" i="4" s="1"/>
  <c r="G38" i="4"/>
  <c r="O38" i="4" s="1"/>
  <c r="P38" i="4" s="1"/>
  <c r="O37" i="4"/>
  <c r="P37" i="4" s="1"/>
  <c r="I37" i="4"/>
  <c r="J37" i="4" s="1"/>
  <c r="L37" i="4" s="1"/>
  <c r="N37" i="4" s="1"/>
  <c r="G37" i="4"/>
  <c r="H37" i="4" s="1"/>
  <c r="O36" i="4"/>
  <c r="P36" i="4" s="1"/>
  <c r="I36" i="4"/>
  <c r="J36" i="4" s="1"/>
  <c r="L36" i="4" s="1"/>
  <c r="N36" i="4" s="1"/>
  <c r="H36" i="4"/>
  <c r="G36" i="4"/>
  <c r="Q36" i="4" s="1"/>
  <c r="R36" i="4" s="1"/>
  <c r="N35" i="4"/>
  <c r="G35" i="4"/>
  <c r="I35" i="4" s="1"/>
  <c r="D34" i="4"/>
  <c r="G34" i="4" s="1"/>
  <c r="H34" i="4" s="1"/>
  <c r="I34" i="4" s="1"/>
  <c r="J34" i="4" s="1"/>
  <c r="P32" i="4"/>
  <c r="Q32" i="4" s="1"/>
  <c r="R32" i="4" s="1"/>
  <c r="O32" i="4"/>
  <c r="H32" i="4"/>
  <c r="I32" i="4" s="1"/>
  <c r="J32" i="4" s="1"/>
  <c r="L32" i="4" s="1"/>
  <c r="N32" i="4" s="1"/>
  <c r="I31" i="4"/>
  <c r="O31" i="4" s="1"/>
  <c r="Q31" i="4" s="1"/>
  <c r="Q30" i="4"/>
  <c r="K29" i="4"/>
  <c r="M29" i="4" s="1"/>
  <c r="I29" i="4"/>
  <c r="I28" i="4"/>
  <c r="J28" i="4" s="1"/>
  <c r="H28" i="4"/>
  <c r="P27" i="4"/>
  <c r="Q27" i="4" s="1"/>
  <c r="R27" i="4" s="1"/>
  <c r="O27" i="4"/>
  <c r="G27" i="4"/>
  <c r="H27" i="4" s="1"/>
  <c r="I27" i="4" s="1"/>
  <c r="G26" i="4"/>
  <c r="O26" i="4" s="1"/>
  <c r="P26" i="4" s="1"/>
  <c r="O25" i="4"/>
  <c r="P25" i="4" s="1"/>
  <c r="I25" i="4"/>
  <c r="J25" i="4" s="1"/>
  <c r="L25" i="4" s="1"/>
  <c r="N25" i="4" s="1"/>
  <c r="H25" i="4"/>
  <c r="G25" i="4"/>
  <c r="Q25" i="4" s="1"/>
  <c r="R25" i="4" s="1"/>
  <c r="Q24" i="4"/>
  <c r="R24" i="4" s="1"/>
  <c r="P24" i="4"/>
  <c r="O24" i="4"/>
  <c r="N24" i="4"/>
  <c r="L24" i="4"/>
  <c r="H24" i="4"/>
  <c r="J23" i="4"/>
  <c r="L23" i="4" s="1"/>
  <c r="N23" i="4" s="1"/>
  <c r="I23" i="4"/>
  <c r="H23" i="4"/>
  <c r="G23" i="4"/>
  <c r="N22" i="4"/>
  <c r="L22" i="4"/>
  <c r="J22" i="4"/>
  <c r="I22" i="4"/>
  <c r="O22" i="4" s="1"/>
  <c r="H22" i="4"/>
  <c r="I21" i="4"/>
  <c r="O21" i="4" s="1"/>
  <c r="H21" i="4"/>
  <c r="R20" i="4"/>
  <c r="P20" i="4"/>
  <c r="N20" i="4"/>
  <c r="L20" i="4"/>
  <c r="J20" i="4"/>
  <c r="H20" i="4"/>
  <c r="Q19" i="4"/>
  <c r="R19" i="4" s="1"/>
  <c r="P19" i="4"/>
  <c r="M19" i="4"/>
  <c r="N19" i="4" s="1"/>
  <c r="J19" i="4"/>
  <c r="H19" i="4"/>
  <c r="L19" i="4" s="1"/>
  <c r="O18" i="4"/>
  <c r="Q18" i="4" s="1"/>
  <c r="R18" i="4" s="1"/>
  <c r="M17" i="4"/>
  <c r="K17" i="4"/>
  <c r="I17" i="4"/>
  <c r="J17" i="4" s="1"/>
  <c r="L17" i="4" s="1"/>
  <c r="N17" i="4" s="1"/>
  <c r="H17" i="4"/>
  <c r="Q16" i="4"/>
  <c r="R16" i="4" s="1"/>
  <c r="M16" i="4"/>
  <c r="I16" i="4"/>
  <c r="H16" i="4"/>
  <c r="G16" i="4"/>
  <c r="O16" i="4" s="1"/>
  <c r="P16" i="4" s="1"/>
  <c r="R14" i="4"/>
  <c r="D38" i="4" s="1"/>
  <c r="K12" i="4"/>
  <c r="K11" i="4"/>
  <c r="K10" i="4"/>
  <c r="J10" i="4"/>
  <c r="J9" i="4"/>
  <c r="J8" i="4"/>
  <c r="J7" i="4"/>
  <c r="J6" i="4"/>
  <c r="J5" i="4"/>
  <c r="J4" i="4"/>
  <c r="J3" i="4"/>
  <c r="J2" i="4"/>
  <c r="I42" i="3"/>
  <c r="Q42" i="3" s="1"/>
  <c r="H49" i="3"/>
  <c r="I49" i="3" s="1"/>
  <c r="O48" i="3"/>
  <c r="Q48" i="3" s="1"/>
  <c r="K48" i="3"/>
  <c r="M48" i="3" s="1"/>
  <c r="I48" i="3"/>
  <c r="E48" i="3"/>
  <c r="P48" i="3" s="1"/>
  <c r="R46" i="3"/>
  <c r="P46" i="3"/>
  <c r="N46" i="3"/>
  <c r="L46" i="3"/>
  <c r="J46" i="3"/>
  <c r="H46" i="3"/>
  <c r="J45" i="3"/>
  <c r="L45" i="3" s="1"/>
  <c r="N45" i="3" s="1"/>
  <c r="I45" i="3"/>
  <c r="O45" i="3" s="1"/>
  <c r="H45" i="3"/>
  <c r="D45" i="3"/>
  <c r="R44" i="3"/>
  <c r="Q44" i="3"/>
  <c r="J44" i="3"/>
  <c r="I44" i="3"/>
  <c r="G44" i="3"/>
  <c r="O44" i="3" s="1"/>
  <c r="P44" i="3" s="1"/>
  <c r="C44" i="3"/>
  <c r="O43" i="3"/>
  <c r="P43" i="3" s="1"/>
  <c r="I43" i="3"/>
  <c r="J43" i="3" s="1"/>
  <c r="L43" i="3" s="1"/>
  <c r="N43" i="3" s="1"/>
  <c r="H43" i="3"/>
  <c r="P42" i="3"/>
  <c r="O42" i="3"/>
  <c r="L42" i="3"/>
  <c r="J42" i="3"/>
  <c r="E42" i="3"/>
  <c r="Q41" i="3"/>
  <c r="R41" i="3" s="1"/>
  <c r="O41" i="3"/>
  <c r="P41" i="3" s="1"/>
  <c r="N41" i="3"/>
  <c r="L41" i="3"/>
  <c r="J41" i="3"/>
  <c r="H41" i="3"/>
  <c r="H40" i="3"/>
  <c r="G40" i="3"/>
  <c r="O40" i="3" s="1"/>
  <c r="P40" i="3" s="1"/>
  <c r="P39" i="3"/>
  <c r="O39" i="3"/>
  <c r="J39" i="3"/>
  <c r="L39" i="3" s="1"/>
  <c r="N39" i="3" s="1"/>
  <c r="I39" i="3"/>
  <c r="G39" i="3"/>
  <c r="Q39" i="3" s="1"/>
  <c r="R39" i="3" s="1"/>
  <c r="H38" i="3"/>
  <c r="G38" i="3"/>
  <c r="O38" i="3" s="1"/>
  <c r="P38" i="3" s="1"/>
  <c r="Q37" i="3"/>
  <c r="R37" i="3" s="1"/>
  <c r="G37" i="3"/>
  <c r="H37" i="3" s="1"/>
  <c r="D37" i="3"/>
  <c r="P36" i="3"/>
  <c r="O36" i="3"/>
  <c r="J36" i="3"/>
  <c r="L36" i="3" s="1"/>
  <c r="N36" i="3" s="1"/>
  <c r="I36" i="3"/>
  <c r="G36" i="3"/>
  <c r="Q36" i="3" s="1"/>
  <c r="R36" i="3" s="1"/>
  <c r="D36" i="3"/>
  <c r="N35" i="3"/>
  <c r="H35" i="3"/>
  <c r="G35" i="3"/>
  <c r="I35" i="3" s="1"/>
  <c r="D34" i="3"/>
  <c r="G34" i="3" s="1"/>
  <c r="H34" i="3" s="1"/>
  <c r="I34" i="3" s="1"/>
  <c r="J34" i="3" s="1"/>
  <c r="O32" i="3"/>
  <c r="P32" i="3" s="1"/>
  <c r="Q32" i="3" s="1"/>
  <c r="R32" i="3" s="1"/>
  <c r="H32" i="3"/>
  <c r="I32" i="3" s="1"/>
  <c r="J32" i="3" s="1"/>
  <c r="L32" i="3" s="1"/>
  <c r="N32" i="3" s="1"/>
  <c r="O31" i="3"/>
  <c r="Q31" i="3" s="1"/>
  <c r="K31" i="3"/>
  <c r="L31" i="3" s="1"/>
  <c r="J31" i="3"/>
  <c r="I31" i="3"/>
  <c r="E31" i="3"/>
  <c r="P31" i="3" s="1"/>
  <c r="R30" i="3"/>
  <c r="Q30" i="3"/>
  <c r="L30" i="3"/>
  <c r="E30" i="3"/>
  <c r="E33" i="3" s="1"/>
  <c r="G33" i="3" s="1"/>
  <c r="H33" i="3" s="1"/>
  <c r="I33" i="3" s="1"/>
  <c r="J33" i="3" s="1"/>
  <c r="I29" i="3"/>
  <c r="K29" i="3" s="1"/>
  <c r="M29" i="3" s="1"/>
  <c r="J28" i="3"/>
  <c r="I28" i="3"/>
  <c r="H28" i="3"/>
  <c r="Q27" i="3"/>
  <c r="R27" i="3" s="1"/>
  <c r="O27" i="3"/>
  <c r="P27" i="3" s="1"/>
  <c r="H27" i="3"/>
  <c r="I27" i="3" s="1"/>
  <c r="J27" i="3" s="1"/>
  <c r="L27" i="3" s="1"/>
  <c r="G27" i="3"/>
  <c r="G25" i="3"/>
  <c r="H25" i="3" s="1"/>
  <c r="O24" i="3"/>
  <c r="N24" i="3"/>
  <c r="L24" i="3"/>
  <c r="H24" i="3"/>
  <c r="G23" i="3"/>
  <c r="I23" i="3" s="1"/>
  <c r="J23" i="3" s="1"/>
  <c r="L23" i="3" s="1"/>
  <c r="N23" i="3" s="1"/>
  <c r="I22" i="3"/>
  <c r="J22" i="3" s="1"/>
  <c r="L22" i="3" s="1"/>
  <c r="N22" i="3" s="1"/>
  <c r="H22" i="3"/>
  <c r="P21" i="3"/>
  <c r="L21" i="3"/>
  <c r="N21" i="3" s="1"/>
  <c r="J21" i="3"/>
  <c r="I21" i="3"/>
  <c r="O21" i="3" s="1"/>
  <c r="Q21" i="3" s="1"/>
  <c r="R21" i="3" s="1"/>
  <c r="H21" i="3"/>
  <c r="R20" i="3"/>
  <c r="P20" i="3"/>
  <c r="N20" i="3"/>
  <c r="L20" i="3"/>
  <c r="J20" i="3"/>
  <c r="H20" i="3"/>
  <c r="Q19" i="3"/>
  <c r="R19" i="3" s="1"/>
  <c r="P19" i="3"/>
  <c r="N19" i="3"/>
  <c r="M19" i="3"/>
  <c r="L19" i="3"/>
  <c r="K19" i="3"/>
  <c r="J19" i="3"/>
  <c r="H19" i="3"/>
  <c r="Q18" i="3"/>
  <c r="R18" i="3" s="1"/>
  <c r="P18" i="3"/>
  <c r="O18" i="3"/>
  <c r="P17" i="3"/>
  <c r="N17" i="3"/>
  <c r="M17" i="3"/>
  <c r="K17" i="3"/>
  <c r="J17" i="3"/>
  <c r="L17" i="3" s="1"/>
  <c r="I17" i="3"/>
  <c r="H17" i="3"/>
  <c r="E17" i="3"/>
  <c r="G16" i="3"/>
  <c r="K16" i="3" s="1"/>
  <c r="L16" i="3" s="1"/>
  <c r="E16" i="3"/>
  <c r="R14" i="3"/>
  <c r="D38" i="3" s="1"/>
  <c r="K10" i="3"/>
  <c r="K11" i="3" s="1"/>
  <c r="K12" i="3" s="1"/>
  <c r="J10" i="3"/>
  <c r="J9" i="3"/>
  <c r="J8" i="3"/>
  <c r="J7" i="3"/>
  <c r="J6" i="3"/>
  <c r="J5" i="3"/>
  <c r="J4" i="3"/>
  <c r="G26" i="3" s="1"/>
  <c r="J3" i="3"/>
  <c r="J2" i="3"/>
  <c r="G39" i="1"/>
  <c r="Q49" i="1"/>
  <c r="O49" i="1"/>
  <c r="M49" i="1"/>
  <c r="K49" i="1"/>
  <c r="I49" i="1"/>
  <c r="G38" i="1"/>
  <c r="G36" i="1"/>
  <c r="Q42" i="1"/>
  <c r="Q41" i="1"/>
  <c r="O42" i="1"/>
  <c r="O41" i="1"/>
  <c r="G35" i="1"/>
  <c r="D34" i="1"/>
  <c r="G33" i="1"/>
  <c r="Q32" i="1"/>
  <c r="O32" i="1"/>
  <c r="M31" i="1"/>
  <c r="K31" i="1"/>
  <c r="R30" i="1"/>
  <c r="P30" i="1"/>
  <c r="M29" i="1"/>
  <c r="K29" i="1"/>
  <c r="O27" i="1"/>
  <c r="G27" i="1"/>
  <c r="O24" i="1"/>
  <c r="J10" i="1"/>
  <c r="J9" i="1"/>
  <c r="J8" i="1"/>
  <c r="J7" i="1"/>
  <c r="J6" i="1"/>
  <c r="J5" i="1"/>
  <c r="J4" i="1"/>
  <c r="J3" i="1"/>
  <c r="J2" i="1"/>
  <c r="E17" i="1"/>
  <c r="J27" i="4" l="1"/>
  <c r="L27" i="4" s="1"/>
  <c r="M27" i="4"/>
  <c r="N27" i="4" s="1"/>
  <c r="J35" i="4"/>
  <c r="O35" i="4"/>
  <c r="J49" i="4"/>
  <c r="K49" i="4"/>
  <c r="L49" i="4" s="1"/>
  <c r="M49" i="4" s="1"/>
  <c r="N49" i="4" s="1"/>
  <c r="O49" i="4" s="1"/>
  <c r="P49" i="4" s="1"/>
  <c r="Q49" i="4" s="1"/>
  <c r="R49" i="4" s="1"/>
  <c r="Q21" i="4"/>
  <c r="R21" i="4" s="1"/>
  <c r="P21" i="4"/>
  <c r="R30" i="4"/>
  <c r="L34" i="4"/>
  <c r="N34" i="4" s="1"/>
  <c r="O34" i="4"/>
  <c r="P34" i="4" s="1"/>
  <c r="Q34" i="4" s="1"/>
  <c r="R34" i="4" s="1"/>
  <c r="O28" i="4"/>
  <c r="P28" i="4" s="1"/>
  <c r="Q28" i="4" s="1"/>
  <c r="R28" i="4" s="1"/>
  <c r="L28" i="4"/>
  <c r="N28" i="4" s="1"/>
  <c r="Q22" i="4"/>
  <c r="R22" i="4" s="1"/>
  <c r="P22" i="4"/>
  <c r="E16" i="4"/>
  <c r="J16" i="4"/>
  <c r="P18" i="4"/>
  <c r="J21" i="4"/>
  <c r="L21" i="4" s="1"/>
  <c r="N21" i="4" s="1"/>
  <c r="H26" i="4"/>
  <c r="D37" i="4"/>
  <c r="Q38" i="4"/>
  <c r="R38" i="4" s="1"/>
  <c r="Q40" i="4"/>
  <c r="R40" i="4" s="1"/>
  <c r="H44" i="4"/>
  <c r="J48" i="4"/>
  <c r="K16" i="4"/>
  <c r="L16" i="4" s="1"/>
  <c r="E17" i="4"/>
  <c r="K19" i="4"/>
  <c r="I26" i="4"/>
  <c r="J26" i="4" s="1"/>
  <c r="M26" i="4"/>
  <c r="N26" i="4" s="1"/>
  <c r="Q26" i="4"/>
  <c r="R26" i="4" s="1"/>
  <c r="E30" i="4"/>
  <c r="E31" i="4"/>
  <c r="K31" i="4"/>
  <c r="H35" i="4"/>
  <c r="D36" i="4"/>
  <c r="Q37" i="4"/>
  <c r="R37" i="4" s="1"/>
  <c r="H38" i="4"/>
  <c r="H40" i="4"/>
  <c r="I44" i="4"/>
  <c r="J44" i="4" s="1"/>
  <c r="Q44" i="4"/>
  <c r="R44" i="4" s="1"/>
  <c r="O45" i="4"/>
  <c r="K48" i="4"/>
  <c r="I38" i="4"/>
  <c r="J38" i="4" s="1"/>
  <c r="L38" i="4" s="1"/>
  <c r="N38" i="4" s="1"/>
  <c r="I40" i="4"/>
  <c r="J40" i="4" s="1"/>
  <c r="L40" i="4" s="1"/>
  <c r="N40" i="4" s="1"/>
  <c r="H48" i="4"/>
  <c r="K26" i="4"/>
  <c r="L26" i="4" s="1"/>
  <c r="E29" i="4"/>
  <c r="L29" i="4" s="1"/>
  <c r="R42" i="3"/>
  <c r="N16" i="3"/>
  <c r="O16" i="3"/>
  <c r="P16" i="3" s="1"/>
  <c r="I26" i="3"/>
  <c r="J26" i="3" s="1"/>
  <c r="Q26" i="3"/>
  <c r="R26" i="3" s="1"/>
  <c r="O26" i="3"/>
  <c r="P26" i="3" s="1"/>
  <c r="K26" i="3"/>
  <c r="L26" i="3" s="1"/>
  <c r="M26" i="3"/>
  <c r="N26" i="3" s="1"/>
  <c r="H23" i="3"/>
  <c r="Q45" i="3"/>
  <c r="R45" i="3" s="1"/>
  <c r="P45" i="3"/>
  <c r="J49" i="3"/>
  <c r="K49" i="3"/>
  <c r="L49" i="3" s="1"/>
  <c r="M49" i="3" s="1"/>
  <c r="N49" i="3" s="1"/>
  <c r="O49" i="3" s="1"/>
  <c r="P49" i="3" s="1"/>
  <c r="Q49" i="3" s="1"/>
  <c r="R49" i="3" s="1"/>
  <c r="O22" i="3"/>
  <c r="M27" i="3"/>
  <c r="N27" i="3" s="1"/>
  <c r="O35" i="3"/>
  <c r="J35" i="3"/>
  <c r="H26" i="3"/>
  <c r="E18" i="3"/>
  <c r="R17" i="3"/>
  <c r="P24" i="3"/>
  <c r="Q24" i="3"/>
  <c r="R24" i="3" s="1"/>
  <c r="L28" i="3"/>
  <c r="N28" i="3" s="1"/>
  <c r="O28" i="3"/>
  <c r="P28" i="3" s="1"/>
  <c r="Q28" i="3" s="1"/>
  <c r="R28" i="3" s="1"/>
  <c r="L34" i="3"/>
  <c r="N34" i="3" s="1"/>
  <c r="O34" i="3"/>
  <c r="P34" i="3" s="1"/>
  <c r="Q34" i="3" s="1"/>
  <c r="R34" i="3" s="1"/>
  <c r="Q16" i="3"/>
  <c r="R16" i="3" s="1"/>
  <c r="M16" i="3"/>
  <c r="I16" i="3"/>
  <c r="H16" i="3"/>
  <c r="O33" i="3"/>
  <c r="P33" i="3" s="1"/>
  <c r="Q33" i="3" s="1"/>
  <c r="R33" i="3" s="1"/>
  <c r="L33" i="3"/>
  <c r="N33" i="3" s="1"/>
  <c r="J16" i="3"/>
  <c r="N30" i="3"/>
  <c r="I25" i="3"/>
  <c r="J25" i="3" s="1"/>
  <c r="L25" i="3" s="1"/>
  <c r="N25" i="3" s="1"/>
  <c r="O25" i="3"/>
  <c r="P25" i="3" s="1"/>
  <c r="E29" i="3"/>
  <c r="J30" i="3"/>
  <c r="M31" i="3"/>
  <c r="H36" i="3"/>
  <c r="I37" i="3"/>
  <c r="J37" i="3" s="1"/>
  <c r="L37" i="3" s="1"/>
  <c r="N37" i="3" s="1"/>
  <c r="O37" i="3"/>
  <c r="P37" i="3" s="1"/>
  <c r="H39" i="3"/>
  <c r="H42" i="3"/>
  <c r="N42" i="3"/>
  <c r="Q43" i="3"/>
  <c r="R43" i="3" s="1"/>
  <c r="H44" i="3"/>
  <c r="J48" i="3"/>
  <c r="N48" i="3"/>
  <c r="R48" i="3"/>
  <c r="N31" i="3"/>
  <c r="R31" i="3"/>
  <c r="Q38" i="3"/>
  <c r="R38" i="3" s="1"/>
  <c r="Q40" i="3"/>
  <c r="R40" i="3" s="1"/>
  <c r="Q25" i="3"/>
  <c r="R25" i="3" s="1"/>
  <c r="H48" i="3"/>
  <c r="L48" i="3"/>
  <c r="H30" i="3"/>
  <c r="P30" i="3"/>
  <c r="H31" i="3"/>
  <c r="I38" i="3"/>
  <c r="J38" i="3" s="1"/>
  <c r="L38" i="3" s="1"/>
  <c r="N38" i="3" s="1"/>
  <c r="I40" i="3"/>
  <c r="J40" i="3" s="1"/>
  <c r="L40" i="3" s="1"/>
  <c r="N40" i="3" s="1"/>
  <c r="Q35" i="4" l="1"/>
  <c r="R35" i="4" s="1"/>
  <c r="P35" i="4"/>
  <c r="J30" i="4"/>
  <c r="E33" i="4"/>
  <c r="G33" i="4" s="1"/>
  <c r="H33" i="4" s="1"/>
  <c r="I33" i="4" s="1"/>
  <c r="J33" i="4" s="1"/>
  <c r="P30" i="4"/>
  <c r="H30" i="4"/>
  <c r="N30" i="4"/>
  <c r="L30" i="4"/>
  <c r="Q45" i="4"/>
  <c r="R45" i="4" s="1"/>
  <c r="P45" i="4"/>
  <c r="M31" i="4"/>
  <c r="L31" i="4"/>
  <c r="N16" i="4"/>
  <c r="P31" i="4"/>
  <c r="H31" i="4"/>
  <c r="R31" i="4"/>
  <c r="N31" i="4"/>
  <c r="J31" i="4"/>
  <c r="P29" i="4"/>
  <c r="N29" i="4"/>
  <c r="J29" i="4"/>
  <c r="R29" i="4"/>
  <c r="H29" i="4"/>
  <c r="M48" i="4"/>
  <c r="N48" i="4" s="1"/>
  <c r="L48" i="4"/>
  <c r="E18" i="4"/>
  <c r="R17" i="4"/>
  <c r="P17" i="4"/>
  <c r="H47" i="3"/>
  <c r="N18" i="3"/>
  <c r="L18" i="3"/>
  <c r="J18" i="3"/>
  <c r="N29" i="3"/>
  <c r="J29" i="3"/>
  <c r="R29" i="3"/>
  <c r="P29" i="3"/>
  <c r="H29" i="3"/>
  <c r="J47" i="3"/>
  <c r="Q22" i="3"/>
  <c r="R22" i="3" s="1"/>
  <c r="P22" i="3"/>
  <c r="P47" i="3" s="1"/>
  <c r="N47" i="3"/>
  <c r="L29" i="3"/>
  <c r="P35" i="3"/>
  <c r="Q35" i="3"/>
  <c r="R35" i="3" s="1"/>
  <c r="R47" i="3" s="1"/>
  <c r="G44" i="1"/>
  <c r="Q30" i="1"/>
  <c r="L41" i="1"/>
  <c r="R47" i="4" l="1"/>
  <c r="H47" i="4"/>
  <c r="N18" i="4"/>
  <c r="N47" i="4" s="1"/>
  <c r="L18" i="4"/>
  <c r="L47" i="4" s="1"/>
  <c r="J18" i="4"/>
  <c r="J47" i="4" s="1"/>
  <c r="L33" i="4"/>
  <c r="N33" i="4" s="1"/>
  <c r="O33" i="4"/>
  <c r="P33" i="4" s="1"/>
  <c r="Q33" i="4" s="1"/>
  <c r="R33" i="4" s="1"/>
  <c r="Q50" i="3"/>
  <c r="R50" i="3" s="1"/>
  <c r="R51" i="3" s="1"/>
  <c r="R53" i="3" s="1"/>
  <c r="P51" i="3"/>
  <c r="P53" i="3" s="1"/>
  <c r="O50" i="3"/>
  <c r="P50" i="3" s="1"/>
  <c r="G50" i="3"/>
  <c r="H50" i="3" s="1"/>
  <c r="H51" i="3" s="1"/>
  <c r="H53" i="3" s="1"/>
  <c r="I50" i="3"/>
  <c r="J50" i="3" s="1"/>
  <c r="J51" i="3" s="1"/>
  <c r="J53" i="3" s="1"/>
  <c r="L47" i="3"/>
  <c r="M50" i="3"/>
  <c r="N50" i="3" s="1"/>
  <c r="N51" i="3" s="1"/>
  <c r="N53" i="3" s="1"/>
  <c r="G16" i="1"/>
  <c r="M50" i="4" l="1"/>
  <c r="N50" i="4" s="1"/>
  <c r="N51" i="4" s="1"/>
  <c r="N53" i="4" s="1"/>
  <c r="I50" i="4"/>
  <c r="J50" i="4" s="1"/>
  <c r="J51" i="4" s="1"/>
  <c r="J53" i="4" s="1"/>
  <c r="G50" i="4"/>
  <c r="H50" i="4" s="1"/>
  <c r="H51" i="4" s="1"/>
  <c r="H53" i="4" s="1"/>
  <c r="Q50" i="4"/>
  <c r="R50" i="4" s="1"/>
  <c r="R51" i="4" s="1"/>
  <c r="R53" i="4" s="1"/>
  <c r="K50" i="4"/>
  <c r="L50" i="4" s="1"/>
  <c r="L51" i="4" s="1"/>
  <c r="L53" i="4" s="1"/>
  <c r="P47" i="4"/>
  <c r="K50" i="3"/>
  <c r="L50" i="3" s="1"/>
  <c r="L51" i="3" s="1"/>
  <c r="L53" i="3" s="1"/>
  <c r="P24" i="1"/>
  <c r="G23" i="1"/>
  <c r="I23" i="1" s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O31" i="1" s="1"/>
  <c r="Q31" i="1" s="1"/>
  <c r="I22" i="1"/>
  <c r="O22" i="1" s="1"/>
  <c r="I21" i="1"/>
  <c r="O21" i="1" s="1"/>
  <c r="H22" i="1"/>
  <c r="H21" i="1"/>
  <c r="Q19" i="1"/>
  <c r="R19" i="1" s="1"/>
  <c r="H43" i="1"/>
  <c r="O18" i="1"/>
  <c r="Q18" i="1" s="1"/>
  <c r="R18" i="1" s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G25" i="1"/>
  <c r="Q25" i="1" s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9" i="1"/>
  <c r="R46" i="1"/>
  <c r="R20" i="1"/>
  <c r="R41" i="1"/>
  <c r="R32" i="1"/>
  <c r="P49" i="1"/>
  <c r="P46" i="1"/>
  <c r="P27" i="1"/>
  <c r="Q27" i="1" s="1"/>
  <c r="R27" i="1" s="1"/>
  <c r="P20" i="1"/>
  <c r="P41" i="1"/>
  <c r="P32" i="1"/>
  <c r="P19" i="1"/>
  <c r="N49" i="1"/>
  <c r="N46" i="1"/>
  <c r="N20" i="1"/>
  <c r="N35" i="1"/>
  <c r="L49" i="1"/>
  <c r="L46" i="1"/>
  <c r="L20" i="1"/>
  <c r="K17" i="1"/>
  <c r="J49" i="1"/>
  <c r="J46" i="1"/>
  <c r="J20" i="1"/>
  <c r="J41" i="1"/>
  <c r="H19" i="1"/>
  <c r="H27" i="1"/>
  <c r="I27" i="1" s="1"/>
  <c r="M27" i="1" s="1"/>
  <c r="N27" i="1" s="1"/>
  <c r="H49" i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O50" i="4" l="1"/>
  <c r="P50" i="4" s="1"/>
  <c r="P51" i="4" s="1"/>
  <c r="P53" i="4" s="1"/>
  <c r="H26" i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O28" i="1"/>
  <c r="P28" i="1" s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P18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0" i="1"/>
  <c r="E31" i="1"/>
  <c r="H31" i="1" s="1"/>
  <c r="E29" i="1"/>
  <c r="P29" i="1" s="1"/>
  <c r="E16" i="1"/>
  <c r="E18" i="1"/>
  <c r="L18" i="1" s="1"/>
  <c r="I25" i="1"/>
  <c r="J25" i="1" s="1"/>
  <c r="L25" i="1" s="1"/>
  <c r="N25" i="1" s="1"/>
  <c r="O25" i="1"/>
  <c r="P25" i="1" s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48" i="1" l="1"/>
  <c r="L48" i="1"/>
  <c r="N29" i="1"/>
  <c r="H29" i="1"/>
  <c r="J29" i="1"/>
  <c r="E33" i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R17" i="1"/>
  <c r="P17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<sst xmlns="http://schemas.openxmlformats.org/spreadsheetml/2006/main" count="528" uniqueCount="129">
  <si>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</si>
  <si>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</si>
  <si>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</si>
  <si>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</si>
  <si>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</si>
  <si>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</si>
  <si>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</si>
  <si>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</si>
  <si>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</si>
  <si>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</si>
  <si>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</si>
  <si>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</si>
  <si>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</si>
  <si>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</si>
  <si>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</si>
  <si>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</si>
  <si>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</si>
  <si>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</si>
  <si>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</si>
  <si>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</si>
  <si>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</si>
  <si>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</si>
  <si>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</si>
  <si>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</si>
  <si>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</si>
  <si>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</si>
  <si>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</si>
  <si>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</si>
  <si>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</si>
  <si>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</si>
  <si>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</si>
  <si>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</si>
  <si>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</si>
  <si>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</si>
  <si>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</si>
  <si>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</si>
  <si>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</si>
  <si>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</si>
  <si>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ste125</t>
  </si>
  <si>
    <t>seg-10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</si>
  <si>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</si>
  <si>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</si>
  <si>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</si>
  <si>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</si>
  <si>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</si>
  <si>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</si>
  <si>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</si>
  <si>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</si>
  <si>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</si>
  <si>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</si>
  <si>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</si>
  <si>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</si>
  <si>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</si>
  <si>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</si>
  <si>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</si>
  <si>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</si>
  <si>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</si>
  <si>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</si>
  <si>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</si>
  <si>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</si>
  <si>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</si>
  <si>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</si>
  <si>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</si>
  <si>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</si>
  <si>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</si>
  <si>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</si>
  <si>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</si>
  <si>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</si>
  <si>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</si>
  <si>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</si>
  <si>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</si>
  <si>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</si>
  <si>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</si>
  <si>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</si>
  <si>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5hp openloop</t>
  </si>
  <si>
    <t>5hp closeloop</t>
  </si>
  <si>
    <t>srt125,13mm,3rope</t>
  </si>
  <si>
    <t>rate+2</t>
  </si>
  <si>
    <t>seg 10,8mm,4rope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</si>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</sst>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0" borderId="0" xfId="0" applyFill="1" applyBorder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opLeftCell="A4" zoomScale="110" zoomScaleNormal="110" workbookViewId="0">
      <selection activeCell="U49" sqref="U49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ht="14.65" x14ac:dyDescent="0.4">
      <c r="H1" s="3" t="s">
        <v>0</v>
      </c>
      <c r="I1" s="3" t="s">
        <v>90</v>
      </c>
      <c r="J1" s="3" t="s">
        <v>102</v>
      </c>
      <c r="K1" s="21" t="s">
        <v>125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ht="14.65" x14ac:dyDescent="0.4">
      <c r="B2" t="s">
        <v>94</v>
      </c>
      <c r="E2" s="4" t="s">
        <v>26</v>
      </c>
      <c r="G2" s="4">
        <v>6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ht="14.65" x14ac:dyDescent="0.4">
      <c r="B3" t="s">
        <v>90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ht="14.65" x14ac:dyDescent="0.4">
      <c r="B4" t="s">
        <v>95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ht="14.65" x14ac:dyDescent="0.4">
      <c r="B5" t="s">
        <v>96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ht="14.65" x14ac:dyDescent="0.4">
      <c r="B6" t="s">
        <v>97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ht="14.65" x14ac:dyDescent="0.4">
      <c r="B7" t="s">
        <v>98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ht="14.65" x14ac:dyDescent="0.4">
      <c r="B8" t="s">
        <v>99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4" t="s">
        <v>26</v>
      </c>
      <c r="V8" s="4"/>
    </row>
    <row r="9" spans="1:24" ht="14.65" x14ac:dyDescent="0.4">
      <c r="B9" t="s">
        <v>100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4"/>
    </row>
    <row r="10" spans="1:24" ht="14.65" x14ac:dyDescent="0.4">
      <c r="B10" t="s">
        <v>101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4"/>
    </row>
    <row r="11" spans="1:24" ht="14.65" x14ac:dyDescent="0.4">
      <c r="D11" t="s">
        <v>26</v>
      </c>
      <c r="K11" s="7">
        <f>K10+2</f>
        <v>18.216216216216218</v>
      </c>
      <c r="Q11" s="2" t="s">
        <v>52</v>
      </c>
      <c r="R11" s="2">
        <v>0</v>
      </c>
      <c r="V11" s="4"/>
    </row>
    <row r="12" spans="1:24" ht="14.65" x14ac:dyDescent="0.4">
      <c r="K12" s="7">
        <f>K11*5</f>
        <v>91.081081081081095</v>
      </c>
      <c r="Q12" s="2" t="s">
        <v>53</v>
      </c>
      <c r="R12" s="2">
        <v>0</v>
      </c>
      <c r="V12" s="4"/>
    </row>
    <row r="13" spans="1:24" ht="15" thickBot="1" x14ac:dyDescent="0.45">
      <c r="K13" s="7"/>
      <c r="Q13" s="2" t="s">
        <v>54</v>
      </c>
      <c r="R13" s="2">
        <v>4800</v>
      </c>
      <c r="V13" s="4"/>
    </row>
    <row r="14" spans="1:24" ht="15" thickBot="1" x14ac:dyDescent="0.45">
      <c r="K14" s="25" t="s">
        <v>123</v>
      </c>
      <c r="L14" s="26"/>
      <c r="M14" s="25" t="s">
        <v>123</v>
      </c>
      <c r="N14" s="27"/>
      <c r="Q14" s="2" t="s">
        <v>55</v>
      </c>
      <c r="R14" s="2">
        <f>SUM(R1:R13)</f>
        <v>17900</v>
      </c>
      <c r="V14" s="4"/>
    </row>
    <row r="15" spans="1:24" s="8" customFormat="1" ht="14.65" x14ac:dyDescent="0.4">
      <c r="A15" s="8" t="s">
        <v>19</v>
      </c>
      <c r="B15" s="8" t="s">
        <v>18</v>
      </c>
      <c r="D15" s="8" t="s">
        <v>17</v>
      </c>
      <c r="E15" s="9" t="s">
        <v>5</v>
      </c>
      <c r="F15" s="9" t="s">
        <v>41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9"/>
      <c r="W15" s="29"/>
      <c r="X15" s="29"/>
    </row>
    <row r="16" spans="1:24" ht="14.65" x14ac:dyDescent="0.4">
      <c r="A16" s="4">
        <v>1</v>
      </c>
      <c r="B16" t="s">
        <v>103</v>
      </c>
      <c r="C16" t="s">
        <v>121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4"/>
    </row>
    <row r="17" spans="1:24" ht="14.65" x14ac:dyDescent="0.4">
      <c r="A17" s="4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20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4"/>
    </row>
    <row r="18" spans="1:24" ht="14.65" x14ac:dyDescent="0.4">
      <c r="A18" s="4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4"/>
    </row>
    <row r="19" spans="1:24" ht="14.65" x14ac:dyDescent="0.4">
      <c r="A19" s="4">
        <v>3</v>
      </c>
      <c r="B19" t="s">
        <v>104</v>
      </c>
      <c r="C19" t="s">
        <v>71</v>
      </c>
      <c r="E19" s="4">
        <v>1</v>
      </c>
      <c r="G19">
        <v>45000</v>
      </c>
      <c r="H19">
        <f t="shared" ref="H19:H46" si="0">G19*E19</f>
        <v>45000</v>
      </c>
      <c r="I19">
        <v>75000</v>
      </c>
      <c r="J19">
        <f>E19*I19</f>
        <v>75000</v>
      </c>
      <c r="K19">
        <f>H19</f>
        <v>45000</v>
      </c>
      <c r="L19">
        <f>H19</f>
        <v>45000</v>
      </c>
      <c r="M19">
        <f>I19</f>
        <v>75000</v>
      </c>
      <c r="N19">
        <f>E19*M19</f>
        <v>75000</v>
      </c>
      <c r="O19">
        <v>45000</v>
      </c>
      <c r="P19">
        <f>E19*O19</f>
        <v>45000</v>
      </c>
      <c r="Q19" s="13">
        <f>I19</f>
        <v>75000</v>
      </c>
      <c r="R19" s="13">
        <f>E19*Q19</f>
        <v>75000</v>
      </c>
      <c r="S19" t="s">
        <v>26</v>
      </c>
      <c r="V19" s="4"/>
    </row>
    <row r="20" spans="1:24" ht="14.65" x14ac:dyDescent="0.4">
      <c r="A20" s="4" t="s">
        <v>26</v>
      </c>
      <c r="B20" t="s">
        <v>105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4"/>
      <c r="B21" t="s">
        <v>86</v>
      </c>
      <c r="E21" s="4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5">
      <c r="A22" s="4"/>
      <c r="B22" t="s">
        <v>124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4">
        <v>4</v>
      </c>
      <c r="B23" t="s">
        <v>106</v>
      </c>
      <c r="D23" t="s">
        <v>74</v>
      </c>
      <c r="E23" s="4">
        <v>1</v>
      </c>
      <c r="G23">
        <f>37500+1500</f>
        <v>39000</v>
      </c>
      <c r="H23">
        <f t="shared" si="0"/>
        <v>39000</v>
      </c>
      <c r="I23">
        <f>G23</f>
        <v>39000</v>
      </c>
      <c r="J23">
        <f>E23*I23</f>
        <v>39000</v>
      </c>
      <c r="K23" t="s">
        <v>26</v>
      </c>
      <c r="L23">
        <f>J23</f>
        <v>39000</v>
      </c>
      <c r="M23" t="s">
        <v>26</v>
      </c>
      <c r="N23">
        <f>L23</f>
        <v>39000</v>
      </c>
      <c r="O23">
        <v>0</v>
      </c>
      <c r="P23">
        <v>0</v>
      </c>
      <c r="Q23" s="13">
        <v>0</v>
      </c>
      <c r="R23" s="13">
        <v>0</v>
      </c>
      <c r="T23" s="28" t="s">
        <v>91</v>
      </c>
      <c r="U23" s="28"/>
      <c r="V23" s="28"/>
      <c r="W23" s="28"/>
      <c r="X23" s="28"/>
    </row>
    <row r="24" spans="1:24" x14ac:dyDescent="0.35">
      <c r="A24" s="4">
        <v>4</v>
      </c>
      <c r="B24" t="s">
        <v>107</v>
      </c>
      <c r="D24" t="s">
        <v>75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>
        <f>55500+1500+6800+4200</f>
        <v>68000</v>
      </c>
      <c r="P24">
        <f>E24*O24</f>
        <v>68000</v>
      </c>
      <c r="Q24" s="13">
        <f>O24</f>
        <v>68000</v>
      </c>
      <c r="R24" s="13">
        <f>E24*Q24</f>
        <v>68000</v>
      </c>
      <c r="T24" s="28" t="s">
        <v>91</v>
      </c>
      <c r="U24" s="28"/>
      <c r="V24" s="28"/>
      <c r="W24" s="28"/>
      <c r="X24" s="28"/>
    </row>
    <row r="25" spans="1:24" x14ac:dyDescent="0.35">
      <c r="A25" s="4">
        <v>5</v>
      </c>
      <c r="B25" t="s">
        <v>27</v>
      </c>
      <c r="E25" s="4">
        <v>1</v>
      </c>
      <c r="G25">
        <f>12500+500</f>
        <v>13000</v>
      </c>
      <c r="H25">
        <f t="shared" si="0"/>
        <v>13000</v>
      </c>
      <c r="I25">
        <f>G25</f>
        <v>13000</v>
      </c>
      <c r="J25">
        <f>E25*I25</f>
        <v>13000</v>
      </c>
      <c r="K25" t="s">
        <v>26</v>
      </c>
      <c r="L25">
        <f>J25</f>
        <v>13000</v>
      </c>
      <c r="M25" t="s">
        <v>26</v>
      </c>
      <c r="N25">
        <f>L25</f>
        <v>13000</v>
      </c>
      <c r="O25">
        <f>G25</f>
        <v>13000</v>
      </c>
      <c r="P25">
        <f>E25*O25</f>
        <v>13000</v>
      </c>
      <c r="Q25" s="13">
        <f>G25</f>
        <v>13000</v>
      </c>
      <c r="R25" s="13">
        <f>E25*Q25</f>
        <v>13000</v>
      </c>
    </row>
    <row r="26" spans="1:24" x14ac:dyDescent="0.35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4">
        <v>16</v>
      </c>
      <c r="B27" t="s">
        <v>108</v>
      </c>
      <c r="D27" t="s">
        <v>38</v>
      </c>
      <c r="E27" s="4">
        <v>1</v>
      </c>
      <c r="G27" s="22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f>75100+2000+2500</f>
        <v>79600</v>
      </c>
      <c r="P27">
        <f>E27*O27</f>
        <v>79600</v>
      </c>
      <c r="Q27" s="13">
        <f>P27</f>
        <v>79600</v>
      </c>
      <c r="R27" s="13">
        <f>E27*Q27</f>
        <v>79600</v>
      </c>
      <c r="S27" t="s">
        <v>39</v>
      </c>
      <c r="U27" t="s">
        <v>92</v>
      </c>
    </row>
    <row r="28" spans="1:24" x14ac:dyDescent="0.35">
      <c r="A28" s="4"/>
      <c r="B28" t="s">
        <v>73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93</v>
      </c>
    </row>
    <row r="29" spans="1:24" x14ac:dyDescent="0.35">
      <c r="A29" s="4">
        <v>6</v>
      </c>
      <c r="B29" t="s">
        <v>109</v>
      </c>
      <c r="C29" t="s">
        <v>76</v>
      </c>
      <c r="D29" t="s">
        <v>77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2">K29*E29</f>
        <v>6746.0999999999995</v>
      </c>
      <c r="M29">
        <f>K29</f>
        <v>113</v>
      </c>
      <c r="N29" s="15">
        <f t="shared" ref="N29:N42" si="3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4">
        <v>6</v>
      </c>
      <c r="B30" t="s">
        <v>109</v>
      </c>
      <c r="C30" t="s">
        <v>78</v>
      </c>
      <c r="D30" t="s">
        <v>77</v>
      </c>
      <c r="E30" s="10">
        <f>(((R14/1000)*2)+2)*4</f>
        <v>151.19999999999999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5">
      <c r="A31" s="4">
        <v>7</v>
      </c>
      <c r="B31" t="s">
        <v>110</v>
      </c>
      <c r="C31" t="s">
        <v>79</v>
      </c>
      <c r="D31" t="s">
        <v>87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4">
        <v>8</v>
      </c>
      <c r="B32" t="s">
        <v>20</v>
      </c>
      <c r="E32" s="4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5">
      <c r="A33" s="4">
        <v>9</v>
      </c>
      <c r="B33" t="s">
        <v>111</v>
      </c>
      <c r="D33" t="s">
        <v>80</v>
      </c>
      <c r="E33" s="4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5">
      <c r="A34" s="4">
        <v>10</v>
      </c>
      <c r="B34" t="s">
        <v>112</v>
      </c>
      <c r="D34" s="15">
        <f>15.5*38*(15.5+2)</f>
        <v>10307.5</v>
      </c>
      <c r="E34" s="4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81</v>
      </c>
    </row>
    <row r="35" spans="1:21" x14ac:dyDescent="0.35">
      <c r="A35" s="4">
        <v>11</v>
      </c>
      <c r="B35" t="s">
        <v>113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4">
        <v>12</v>
      </c>
      <c r="B36" t="s">
        <v>114</v>
      </c>
      <c r="C36" t="s">
        <v>82</v>
      </c>
      <c r="D36" s="23">
        <f>R14/1000+10+10</f>
        <v>37.9</v>
      </c>
      <c r="E36" s="2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4">
        <v>12</v>
      </c>
      <c r="B37" t="s">
        <v>114</v>
      </c>
      <c r="C37" t="s">
        <v>83</v>
      </c>
      <c r="D37" s="23">
        <f>(R14/1000)+G3*3+13</f>
        <v>42.9</v>
      </c>
      <c r="E37" s="24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4">
        <v>12</v>
      </c>
      <c r="B38" t="s">
        <v>114</v>
      </c>
      <c r="C38" t="s">
        <v>84</v>
      </c>
      <c r="D38" s="23">
        <f>((R14/1000)+5)+G3*2+(R14/1000*8)</f>
        <v>174.1</v>
      </c>
      <c r="E38" s="24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4">
        <v>12</v>
      </c>
      <c r="B39" t="s">
        <v>114</v>
      </c>
      <c r="C39" t="s">
        <v>128</v>
      </c>
      <c r="D39" s="23">
        <v>50</v>
      </c>
      <c r="E39" s="24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4">
        <v>12</v>
      </c>
      <c r="B40" t="s">
        <v>114</v>
      </c>
      <c r="C40" t="s">
        <v>127</v>
      </c>
      <c r="D40" s="23">
        <v>50</v>
      </c>
      <c r="E40" s="24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9">
        <v>13</v>
      </c>
      <c r="B41" s="8" t="s">
        <v>115</v>
      </c>
      <c r="D41" s="8" t="s">
        <v>126</v>
      </c>
      <c r="E41" s="4">
        <v>1</v>
      </c>
      <c r="F41" s="9"/>
      <c r="G41" s="8">
        <v>43245</v>
      </c>
      <c r="H41" s="8">
        <f t="shared" si="0"/>
        <v>43245</v>
      </c>
      <c r="I41" s="8">
        <v>47840</v>
      </c>
      <c r="J41" s="8">
        <f>E41*I41</f>
        <v>47840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43245</v>
      </c>
      <c r="P41" s="8">
        <f>E41*O41</f>
        <v>43245</v>
      </c>
      <c r="Q41" s="1">
        <f>I41</f>
        <v>47840</v>
      </c>
      <c r="R41" s="1">
        <f>E41*Q41</f>
        <v>47840</v>
      </c>
      <c r="S41" s="8" t="s">
        <v>26</v>
      </c>
    </row>
    <row r="42" spans="1:21" s="8" customFormat="1" x14ac:dyDescent="0.35">
      <c r="A42" s="9">
        <v>14</v>
      </c>
      <c r="B42" s="8" t="s">
        <v>116</v>
      </c>
      <c r="D42" s="8" t="s">
        <v>126</v>
      </c>
      <c r="E42" s="9">
        <f>G3</f>
        <v>4</v>
      </c>
      <c r="F42" s="9"/>
      <c r="G42" s="8">
        <v>17880</v>
      </c>
      <c r="H42" s="8">
        <f t="shared" si="0"/>
        <v>71520</v>
      </c>
      <c r="I42" s="8">
        <v>26355</v>
      </c>
      <c r="J42" s="8">
        <f>E42*I42</f>
        <v>105420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17880</v>
      </c>
      <c r="P42" s="8">
        <f>E42*O42</f>
        <v>71520</v>
      </c>
      <c r="Q42" s="1">
        <f>I42</f>
        <v>26355</v>
      </c>
      <c r="R42" s="1">
        <f>E42*Q42</f>
        <v>105420</v>
      </c>
      <c r="S42" s="8" t="s">
        <v>26</v>
      </c>
    </row>
    <row r="43" spans="1:21" x14ac:dyDescent="0.35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>
        <v>10000</v>
      </c>
      <c r="L43">
        <f>J43</f>
        <v>25000</v>
      </c>
      <c r="M43">
        <v>10000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85</v>
      </c>
    </row>
    <row r="44" spans="1:21" x14ac:dyDescent="0.35">
      <c r="A44" s="4">
        <v>18</v>
      </c>
      <c r="B44" t="s">
        <v>117</v>
      </c>
      <c r="C44">
        <f>1500+1500+1000+1000</f>
        <v>5000</v>
      </c>
      <c r="D44" t="s">
        <v>122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>
        <v>10000</v>
      </c>
      <c r="L44">
        <v>5000</v>
      </c>
      <c r="M44">
        <v>10000</v>
      </c>
      <c r="N44">
        <v>5000</v>
      </c>
      <c r="O44">
        <f t="shared" si="6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4"/>
      <c r="B45" t="s">
        <v>72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4">
        <v>19</v>
      </c>
      <c r="B46" t="s">
        <v>118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4"/>
      <c r="D47" t="s">
        <v>10</v>
      </c>
      <c r="H47" s="15">
        <f>SUM(H16:H46)</f>
        <v>489994</v>
      </c>
      <c r="J47" s="15">
        <f>SUM(J16:J46)</f>
        <v>558489</v>
      </c>
      <c r="L47" s="15">
        <f>SUM(L16:L46)</f>
        <v>428429</v>
      </c>
      <c r="N47" s="15">
        <f>SUM(N16:N46)</f>
        <v>573229</v>
      </c>
      <c r="P47" s="15">
        <f>SUM(P16:P46)</f>
        <v>553390.30000000005</v>
      </c>
      <c r="R47" s="14">
        <f>SUM(R16:R46)</f>
        <v>621885.30000000005</v>
      </c>
    </row>
    <row r="48" spans="1:21" x14ac:dyDescent="0.35">
      <c r="A48" s="4">
        <v>20</v>
      </c>
      <c r="B48" t="s">
        <v>88</v>
      </c>
      <c r="D48" t="s">
        <v>89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4">
        <v>21</v>
      </c>
      <c r="B49" t="s">
        <v>119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4">
        <v>22</v>
      </c>
      <c r="B50" t="s">
        <v>120</v>
      </c>
      <c r="E50" s="4">
        <v>1</v>
      </c>
      <c r="G50" s="15">
        <f>H47*5%</f>
        <v>24499.7</v>
      </c>
      <c r="H50" s="15">
        <f>G50*E50</f>
        <v>24499.7</v>
      </c>
      <c r="I50" s="15">
        <f>J47*5%</f>
        <v>27924.45</v>
      </c>
      <c r="J50" s="15">
        <f>E50*I50</f>
        <v>27924.45</v>
      </c>
      <c r="K50" s="15">
        <f>L47*5%</f>
        <v>21421.45</v>
      </c>
      <c r="L50" s="15">
        <f>K50*E50</f>
        <v>21421.45</v>
      </c>
      <c r="M50" s="15">
        <f>N47*5%</f>
        <v>28661.45</v>
      </c>
      <c r="N50" s="15">
        <f>E50*M50</f>
        <v>28661.45</v>
      </c>
      <c r="O50" s="15">
        <f>P47*5%</f>
        <v>27669.515000000003</v>
      </c>
      <c r="P50" s="15">
        <f>E50*O50</f>
        <v>27669.515000000003</v>
      </c>
      <c r="Q50" s="14">
        <f>R47*5%</f>
        <v>31094.265000000003</v>
      </c>
      <c r="R50" s="14">
        <f>E50*Q50</f>
        <v>31094.265000000003</v>
      </c>
    </row>
    <row r="51" spans="1:18" x14ac:dyDescent="0.35">
      <c r="D51" t="s">
        <v>10</v>
      </c>
      <c r="H51" s="15">
        <f>H47+H48+H49+H50</f>
        <v>574493.69999999995</v>
      </c>
      <c r="J51" s="15">
        <f>J47+J48+J49+J50</f>
        <v>646413.44999999995</v>
      </c>
      <c r="L51" s="15">
        <f>L47+L48+L49+L50</f>
        <v>509850.45</v>
      </c>
      <c r="N51" s="15">
        <f>N47+N48+N49+N50</f>
        <v>661890.44999999995</v>
      </c>
      <c r="P51" s="15">
        <f>P47+P48+P49+P50</f>
        <v>641059.81500000006</v>
      </c>
      <c r="R51" s="14">
        <f>R47+R48+R49+R50</f>
        <v>712979.56500000006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694493.7</v>
      </c>
      <c r="J53" s="15">
        <f>J52+J51</f>
        <v>766413.45</v>
      </c>
      <c r="L53" s="15">
        <f>L52+L51</f>
        <v>629850.44999999995</v>
      </c>
      <c r="N53" s="15">
        <f>N52+N51</f>
        <v>781890.45</v>
      </c>
      <c r="P53" s="15">
        <f>P52+P51</f>
        <v>761059.81500000006</v>
      </c>
      <c r="R53" s="14">
        <f>R52+R51</f>
        <v>832979.56500000006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activeCell="M43" sqref="M43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19" customWidth="1"/>
    <col min="6" max="6" width="6.81640625" style="19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90</v>
      </c>
      <c r="J1" s="3" t="s">
        <v>102</v>
      </c>
      <c r="K1" s="21" t="s">
        <v>125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5">
      <c r="B2" t="s">
        <v>94</v>
      </c>
      <c r="E2" s="19" t="s">
        <v>26</v>
      </c>
      <c r="G2" s="19">
        <v>6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5">
      <c r="B3" t="s">
        <v>90</v>
      </c>
      <c r="E3" s="19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5">
      <c r="B4" t="s">
        <v>95</v>
      </c>
      <c r="E4" s="19">
        <v>0.65</v>
      </c>
      <c r="G4" s="19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5">
      <c r="B5" t="s">
        <v>96</v>
      </c>
      <c r="E5" s="19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5">
      <c r="B6" t="s">
        <v>97</v>
      </c>
      <c r="E6" s="19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5">
      <c r="B7" t="s">
        <v>98</v>
      </c>
      <c r="E7" s="19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5">
      <c r="B8" t="s">
        <v>99</v>
      </c>
      <c r="E8" s="19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19" t="s">
        <v>26</v>
      </c>
      <c r="V8" s="19"/>
    </row>
    <row r="9" spans="1:24" x14ac:dyDescent="0.35">
      <c r="B9" t="s">
        <v>100</v>
      </c>
      <c r="D9" t="s">
        <v>26</v>
      </c>
      <c r="E9" s="19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19"/>
    </row>
    <row r="10" spans="1:24" x14ac:dyDescent="0.35">
      <c r="B10" t="s">
        <v>101</v>
      </c>
      <c r="D10" t="s">
        <v>26</v>
      </c>
      <c r="E10" s="19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19"/>
    </row>
    <row r="11" spans="1:24" x14ac:dyDescent="0.35">
      <c r="D11" t="s">
        <v>26</v>
      </c>
      <c r="K11" s="7">
        <f>K10+2</f>
        <v>18.216216216216218</v>
      </c>
      <c r="Q11" s="2" t="s">
        <v>52</v>
      </c>
      <c r="R11" s="2">
        <v>0</v>
      </c>
      <c r="V11" s="19"/>
    </row>
    <row r="12" spans="1:24" x14ac:dyDescent="0.35">
      <c r="K12" s="7">
        <f>K11*5</f>
        <v>91.081081081081095</v>
      </c>
      <c r="Q12" s="2" t="s">
        <v>53</v>
      </c>
      <c r="R12" s="2">
        <v>0</v>
      </c>
      <c r="V12" s="19"/>
    </row>
    <row r="13" spans="1:24" ht="15" thickBot="1" x14ac:dyDescent="0.4">
      <c r="K13" s="7"/>
      <c r="Q13" s="2" t="s">
        <v>54</v>
      </c>
      <c r="R13" s="2">
        <v>4800</v>
      </c>
      <c r="V13" s="19"/>
    </row>
    <row r="14" spans="1:24" ht="15" thickBot="1" x14ac:dyDescent="0.4">
      <c r="K14" s="25" t="s">
        <v>123</v>
      </c>
      <c r="L14" s="26"/>
      <c r="M14" s="25" t="s">
        <v>123</v>
      </c>
      <c r="N14" s="27"/>
      <c r="Q14" s="2" t="s">
        <v>55</v>
      </c>
      <c r="R14" s="2">
        <f>SUM(R1:R13)</f>
        <v>17900</v>
      </c>
      <c r="V14" s="19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18" t="s">
        <v>5</v>
      </c>
      <c r="F15" s="18" t="s">
        <v>41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18"/>
      <c r="W15" s="29"/>
      <c r="X15" s="29"/>
    </row>
    <row r="16" spans="1:24" x14ac:dyDescent="0.35">
      <c r="A16" s="19">
        <v>1</v>
      </c>
      <c r="B16" t="s">
        <v>103</v>
      </c>
      <c r="C16" t="s">
        <v>121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19"/>
    </row>
    <row r="17" spans="1:24" x14ac:dyDescent="0.35">
      <c r="A17" s="19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20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19"/>
    </row>
    <row r="18" spans="1:24" x14ac:dyDescent="0.35">
      <c r="A18" s="19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19"/>
    </row>
    <row r="19" spans="1:24" x14ac:dyDescent="0.35">
      <c r="A19" s="19">
        <v>3</v>
      </c>
      <c r="B19" t="s">
        <v>104</v>
      </c>
      <c r="C19" t="s">
        <v>71</v>
      </c>
      <c r="E19" s="19">
        <v>1</v>
      </c>
      <c r="G19">
        <v>45000</v>
      </c>
      <c r="H19">
        <f t="shared" ref="H19:H46" si="0">G19*E19</f>
        <v>45000</v>
      </c>
      <c r="I19">
        <v>75000</v>
      </c>
      <c r="J19">
        <f>E19*I19</f>
        <v>75000</v>
      </c>
      <c r="K19">
        <f>H19</f>
        <v>45000</v>
      </c>
      <c r="L19">
        <f>H19</f>
        <v>45000</v>
      </c>
      <c r="M19">
        <f>I19</f>
        <v>75000</v>
      </c>
      <c r="N19">
        <f>E19*M19</f>
        <v>75000</v>
      </c>
      <c r="O19">
        <v>45000</v>
      </c>
      <c r="P19">
        <f>E19*O19</f>
        <v>45000</v>
      </c>
      <c r="Q19" s="13">
        <f>I19</f>
        <v>75000</v>
      </c>
      <c r="R19" s="13">
        <f>E19*Q19</f>
        <v>75000</v>
      </c>
      <c r="S19" t="s">
        <v>26</v>
      </c>
      <c r="V19" s="19"/>
    </row>
    <row r="20" spans="1:24" x14ac:dyDescent="0.35">
      <c r="A20" s="19" t="s">
        <v>26</v>
      </c>
      <c r="B20" t="s">
        <v>105</v>
      </c>
      <c r="E20" s="19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19"/>
      <c r="B21" t="s">
        <v>86</v>
      </c>
      <c r="E21" s="19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5">
      <c r="A22" s="19"/>
      <c r="B22" t="s">
        <v>124</v>
      </c>
      <c r="E22" s="19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19">
        <v>4</v>
      </c>
      <c r="B23" t="s">
        <v>106</v>
      </c>
      <c r="D23" t="s">
        <v>74</v>
      </c>
      <c r="E23" s="19">
        <v>1</v>
      </c>
      <c r="G23">
        <f>37500+1500</f>
        <v>39000</v>
      </c>
      <c r="H23">
        <f t="shared" si="0"/>
        <v>39000</v>
      </c>
      <c r="I23">
        <f>G23</f>
        <v>39000</v>
      </c>
      <c r="J23">
        <f>E23*I23</f>
        <v>39000</v>
      </c>
      <c r="K23" t="s">
        <v>26</v>
      </c>
      <c r="L23">
        <f>J23</f>
        <v>39000</v>
      </c>
      <c r="M23" t="s">
        <v>26</v>
      </c>
      <c r="N23">
        <f>L23</f>
        <v>39000</v>
      </c>
      <c r="O23">
        <v>0</v>
      </c>
      <c r="P23">
        <v>0</v>
      </c>
      <c r="Q23" s="13">
        <v>0</v>
      </c>
      <c r="R23" s="13">
        <v>0</v>
      </c>
      <c r="T23" s="28" t="s">
        <v>91</v>
      </c>
      <c r="U23" s="28"/>
      <c r="V23" s="28"/>
      <c r="W23" s="28"/>
      <c r="X23" s="28"/>
    </row>
    <row r="24" spans="1:24" x14ac:dyDescent="0.35">
      <c r="A24" s="19">
        <v>4</v>
      </c>
      <c r="B24" t="s">
        <v>107</v>
      </c>
      <c r="D24" t="s">
        <v>75</v>
      </c>
      <c r="E24" s="19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>
        <f>55500+1500+6800+4200</f>
        <v>68000</v>
      </c>
      <c r="P24">
        <f>E24*O24</f>
        <v>68000</v>
      </c>
      <c r="Q24" s="13">
        <f>O24</f>
        <v>68000</v>
      </c>
      <c r="R24" s="13">
        <f>E24*Q24</f>
        <v>68000</v>
      </c>
      <c r="T24" s="28" t="s">
        <v>91</v>
      </c>
      <c r="U24" s="28"/>
      <c r="V24" s="28"/>
      <c r="W24" s="28"/>
      <c r="X24" s="28"/>
    </row>
    <row r="25" spans="1:24" x14ac:dyDescent="0.35">
      <c r="A25" s="19">
        <v>5</v>
      </c>
      <c r="B25" t="s">
        <v>27</v>
      </c>
      <c r="E25" s="19">
        <v>1</v>
      </c>
      <c r="G25">
        <f>12500+500</f>
        <v>13000</v>
      </c>
      <c r="H25">
        <f t="shared" si="0"/>
        <v>13000</v>
      </c>
      <c r="I25">
        <f>G25</f>
        <v>13000</v>
      </c>
      <c r="J25">
        <f>E25*I25</f>
        <v>13000</v>
      </c>
      <c r="K25" t="s">
        <v>26</v>
      </c>
      <c r="L25">
        <f>J25</f>
        <v>13000</v>
      </c>
      <c r="M25" t="s">
        <v>26</v>
      </c>
      <c r="N25">
        <f>L25</f>
        <v>13000</v>
      </c>
      <c r="O25">
        <f>G25</f>
        <v>13000</v>
      </c>
      <c r="P25">
        <f>E25*O25</f>
        <v>13000</v>
      </c>
      <c r="Q25" s="13">
        <f>G25</f>
        <v>13000</v>
      </c>
      <c r="R25" s="13">
        <f>E25*Q25</f>
        <v>13000</v>
      </c>
    </row>
    <row r="26" spans="1:24" x14ac:dyDescent="0.35">
      <c r="A26" s="19">
        <v>5</v>
      </c>
      <c r="B26" t="s">
        <v>0</v>
      </c>
      <c r="E26" s="19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19">
        <v>16</v>
      </c>
      <c r="B27" t="s">
        <v>108</v>
      </c>
      <c r="D27" t="s">
        <v>38</v>
      </c>
      <c r="E27" s="19">
        <v>1</v>
      </c>
      <c r="G27" s="22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f>75100+2000+2500</f>
        <v>79600</v>
      </c>
      <c r="P27">
        <f>E27*O27</f>
        <v>79600</v>
      </c>
      <c r="Q27" s="13">
        <f>P27</f>
        <v>79600</v>
      </c>
      <c r="R27" s="13">
        <f>E27*Q27</f>
        <v>79600</v>
      </c>
      <c r="S27" t="s">
        <v>39</v>
      </c>
      <c r="U27" t="s">
        <v>92</v>
      </c>
    </row>
    <row r="28" spans="1:24" x14ac:dyDescent="0.35">
      <c r="A28" s="19"/>
      <c r="B28" t="s">
        <v>73</v>
      </c>
      <c r="E28" s="19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93</v>
      </c>
    </row>
    <row r="29" spans="1:24" x14ac:dyDescent="0.35">
      <c r="A29" s="19">
        <v>6</v>
      </c>
      <c r="B29" t="s">
        <v>109</v>
      </c>
      <c r="C29" t="s">
        <v>76</v>
      </c>
      <c r="D29" t="s">
        <v>77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1">K29*E29</f>
        <v>6746.0999999999995</v>
      </c>
      <c r="M29">
        <f>K29</f>
        <v>113</v>
      </c>
      <c r="N29" s="15">
        <f t="shared" ref="N29:N42" si="2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19">
        <v>6</v>
      </c>
      <c r="B30" t="s">
        <v>109</v>
      </c>
      <c r="C30" t="s">
        <v>78</v>
      </c>
      <c r="D30" t="s">
        <v>77</v>
      </c>
      <c r="E30" s="10">
        <f>(((R14/1000)*2)+2)*4</f>
        <v>151.19999999999999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5">
      <c r="A31" s="19">
        <v>7</v>
      </c>
      <c r="B31" t="s">
        <v>110</v>
      </c>
      <c r="C31" t="s">
        <v>79</v>
      </c>
      <c r="D31" t="s">
        <v>87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19">
        <v>8</v>
      </c>
      <c r="B32" t="s">
        <v>20</v>
      </c>
      <c r="E32" s="19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5">
      <c r="A33" s="19">
        <v>9</v>
      </c>
      <c r="B33" t="s">
        <v>111</v>
      </c>
      <c r="D33" t="s">
        <v>80</v>
      </c>
      <c r="E33" s="19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5">
      <c r="A34" s="19">
        <v>10</v>
      </c>
      <c r="B34" t="s">
        <v>112</v>
      </c>
      <c r="D34" s="15">
        <f>15.5*38*(15.5+2)</f>
        <v>10307.5</v>
      </c>
      <c r="E34" s="19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81</v>
      </c>
    </row>
    <row r="35" spans="1:21" x14ac:dyDescent="0.35">
      <c r="A35" s="19">
        <v>11</v>
      </c>
      <c r="B35" t="s">
        <v>113</v>
      </c>
      <c r="E35" s="19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19">
        <v>12</v>
      </c>
      <c r="B36" t="s">
        <v>114</v>
      </c>
      <c r="C36" t="s">
        <v>82</v>
      </c>
      <c r="D36" s="23">
        <f>R14/1000+10+10</f>
        <v>37.9</v>
      </c>
      <c r="E36" s="2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19">
        <v>12</v>
      </c>
      <c r="B37" t="s">
        <v>114</v>
      </c>
      <c r="C37" t="s">
        <v>83</v>
      </c>
      <c r="D37" s="23">
        <f>(R14/1000)+G3*3+13</f>
        <v>42.9</v>
      </c>
      <c r="E37" s="2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19">
        <v>12</v>
      </c>
      <c r="B38" t="s">
        <v>114</v>
      </c>
      <c r="C38" t="s">
        <v>84</v>
      </c>
      <c r="D38" s="23">
        <f>((R14/1000)+5)+G3*2+(R14/1000*8)</f>
        <v>174.1</v>
      </c>
      <c r="E38" s="2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19">
        <v>12</v>
      </c>
      <c r="B39" t="s">
        <v>114</v>
      </c>
      <c r="C39" t="s">
        <v>128</v>
      </c>
      <c r="D39" s="23">
        <v>50</v>
      </c>
      <c r="E39" s="2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19">
        <v>12</v>
      </c>
      <c r="B40" t="s">
        <v>114</v>
      </c>
      <c r="C40" t="s">
        <v>127</v>
      </c>
      <c r="D40" s="23">
        <v>50</v>
      </c>
      <c r="E40" s="2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18">
        <v>13</v>
      </c>
      <c r="B41" s="8" t="s">
        <v>115</v>
      </c>
      <c r="D41" s="8" t="s">
        <v>126</v>
      </c>
      <c r="E41" s="19">
        <v>1</v>
      </c>
      <c r="F41" s="18"/>
      <c r="G41" s="16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5">
      <c r="A42" s="18">
        <v>14</v>
      </c>
      <c r="B42" s="8" t="s">
        <v>116</v>
      </c>
      <c r="D42" s="8" t="s">
        <v>126</v>
      </c>
      <c r="E42" s="18">
        <f>G3</f>
        <v>4</v>
      </c>
      <c r="F42" s="18"/>
      <c r="G42" s="16">
        <v>17880</v>
      </c>
      <c r="H42" s="8">
        <f t="shared" si="0"/>
        <v>71520</v>
      </c>
      <c r="I42" s="8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">
        <f>I42</f>
        <v>40191</v>
      </c>
      <c r="R42" s="1">
        <f>E42*Q42</f>
        <v>160764</v>
      </c>
      <c r="S42" s="8" t="s">
        <v>26</v>
      </c>
    </row>
    <row r="43" spans="1:21" x14ac:dyDescent="0.35">
      <c r="A43" s="19">
        <v>17</v>
      </c>
      <c r="B43" t="s">
        <v>1</v>
      </c>
      <c r="C43" s="8" t="s">
        <v>36</v>
      </c>
      <c r="E43" s="19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>
        <v>10000</v>
      </c>
      <c r="L43">
        <f>J43</f>
        <v>25000</v>
      </c>
      <c r="M43">
        <v>10000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85</v>
      </c>
    </row>
    <row r="44" spans="1:21" x14ac:dyDescent="0.35">
      <c r="A44" s="19">
        <v>18</v>
      </c>
      <c r="B44" t="s">
        <v>117</v>
      </c>
      <c r="C44">
        <f>1500+1500+1000+1000</f>
        <v>5000</v>
      </c>
      <c r="D44" t="s">
        <v>122</v>
      </c>
      <c r="E44" s="19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>
        <v>10000</v>
      </c>
      <c r="L44">
        <v>5000</v>
      </c>
      <c r="M44">
        <v>10000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19"/>
      <c r="B45" t="s">
        <v>72</v>
      </c>
      <c r="D45">
        <f>2000+1000+2000</f>
        <v>5000</v>
      </c>
      <c r="E45" s="19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19">
        <v>19</v>
      </c>
      <c r="B46" t="s">
        <v>118</v>
      </c>
      <c r="E46" s="19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19"/>
      <c r="D47" t="s">
        <v>10</v>
      </c>
      <c r="H47" s="15">
        <f>SUM(H16:H46)</f>
        <v>489994</v>
      </c>
      <c r="J47" s="15">
        <f>SUM(J16:J46)</f>
        <v>623009</v>
      </c>
      <c r="L47" s="15">
        <f>SUM(L16:L46)</f>
        <v>428429</v>
      </c>
      <c r="N47" s="15">
        <f>SUM(N16:N46)</f>
        <v>573229</v>
      </c>
      <c r="P47" s="15">
        <f>SUM(P16:P46)</f>
        <v>553390.30000000005</v>
      </c>
      <c r="R47" s="14">
        <f>SUM(R16:R46)</f>
        <v>686405.3</v>
      </c>
    </row>
    <row r="48" spans="1:21" x14ac:dyDescent="0.35">
      <c r="A48" s="19">
        <v>20</v>
      </c>
      <c r="B48" t="s">
        <v>88</v>
      </c>
      <c r="D48" t="s">
        <v>89</v>
      </c>
      <c r="E48" s="19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19">
        <v>21</v>
      </c>
      <c r="B49" t="s">
        <v>119</v>
      </c>
      <c r="E49" s="19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19">
        <v>22</v>
      </c>
      <c r="B50" t="s">
        <v>120</v>
      </c>
      <c r="E50" s="19">
        <v>1</v>
      </c>
      <c r="G50" s="15">
        <f>H47*5%</f>
        <v>24499.7</v>
      </c>
      <c r="H50" s="15">
        <f>G50*E50</f>
        <v>24499.7</v>
      </c>
      <c r="I50" s="15">
        <f>J47*5%</f>
        <v>31150.45</v>
      </c>
      <c r="J50" s="15">
        <f>E50*I50</f>
        <v>31150.45</v>
      </c>
      <c r="K50" s="15">
        <f>L47*5%</f>
        <v>21421.45</v>
      </c>
      <c r="L50" s="15">
        <f>K50*E50</f>
        <v>21421.45</v>
      </c>
      <c r="M50" s="15">
        <f>N47*5%</f>
        <v>28661.45</v>
      </c>
      <c r="N50" s="15">
        <f>E50*M50</f>
        <v>28661.45</v>
      </c>
      <c r="O50" s="15">
        <f>P47*5%</f>
        <v>27669.515000000003</v>
      </c>
      <c r="P50" s="15">
        <f>E50*O50</f>
        <v>27669.515000000003</v>
      </c>
      <c r="Q50" s="14">
        <f>R47*5%</f>
        <v>34320.265000000007</v>
      </c>
      <c r="R50" s="14">
        <f>E50*Q50</f>
        <v>34320.265000000007</v>
      </c>
    </row>
    <row r="51" spans="1:18" x14ac:dyDescent="0.35">
      <c r="D51" t="s">
        <v>10</v>
      </c>
      <c r="H51" s="15">
        <f>H47+H48+H49+H50</f>
        <v>574493.69999999995</v>
      </c>
      <c r="J51" s="15">
        <f>J47+J48+J49+J50</f>
        <v>714159.45</v>
      </c>
      <c r="L51" s="15">
        <f>L47+L48+L49+L50</f>
        <v>509850.45</v>
      </c>
      <c r="N51" s="15">
        <f>N47+N48+N49+N50</f>
        <v>661890.44999999995</v>
      </c>
      <c r="P51" s="15">
        <f>P47+P48+P49+P50</f>
        <v>641059.81500000006</v>
      </c>
      <c r="R51" s="14">
        <f>R47+R48+R49+R50</f>
        <v>780725.56500000006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694493.7</v>
      </c>
      <c r="J53" s="15">
        <f>J52+J51</f>
        <v>834159.45</v>
      </c>
      <c r="L53" s="15">
        <f>L52+L51</f>
        <v>629850.44999999995</v>
      </c>
      <c r="N53" s="15">
        <f>N52+N51</f>
        <v>781890.45</v>
      </c>
      <c r="P53" s="15">
        <f>P52+P51</f>
        <v>761059.81500000006</v>
      </c>
      <c r="R53" s="14">
        <f>R52+R51</f>
        <v>900725.56500000006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110" zoomScaleNormal="110" workbookViewId="0">
      <selection activeCell="I19" sqref="I19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19" customWidth="1"/>
    <col min="6" max="6" width="6.81640625" style="19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90</v>
      </c>
      <c r="J1" s="3" t="s">
        <v>102</v>
      </c>
      <c r="K1" s="21" t="s">
        <v>125</v>
      </c>
      <c r="Q1" s="2" t="s">
        <v>42</v>
      </c>
      <c r="R1" s="2">
        <v>1600</v>
      </c>
      <c r="S1" t="s">
        <v>26</v>
      </c>
      <c r="T1" s="3" t="s">
        <v>61</v>
      </c>
      <c r="U1" s="3" t="s">
        <v>62</v>
      </c>
      <c r="V1" s="3" t="s">
        <v>63</v>
      </c>
    </row>
    <row r="2" spans="1:24" x14ac:dyDescent="0.35">
      <c r="B2" t="s">
        <v>94</v>
      </c>
      <c r="E2" s="19" t="s">
        <v>26</v>
      </c>
      <c r="G2" s="19">
        <v>6</v>
      </c>
      <c r="H2" s="3" t="s">
        <v>21</v>
      </c>
      <c r="I2" s="6">
        <v>2</v>
      </c>
      <c r="J2" s="3">
        <f>7500+500+1550+2450+2000</f>
        <v>14000</v>
      </c>
      <c r="Q2" s="2" t="s">
        <v>43</v>
      </c>
      <c r="R2" s="2">
        <v>0</v>
      </c>
      <c r="T2" s="6">
        <v>2</v>
      </c>
      <c r="U2" s="3" t="s">
        <v>56</v>
      </c>
      <c r="V2" s="6">
        <v>4</v>
      </c>
    </row>
    <row r="3" spans="1:24" x14ac:dyDescent="0.35">
      <c r="B3" t="s">
        <v>90</v>
      </c>
      <c r="E3" s="19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44</v>
      </c>
      <c r="R3" s="2">
        <v>3800</v>
      </c>
      <c r="T3" s="6">
        <v>3</v>
      </c>
      <c r="U3" s="3" t="s">
        <v>57</v>
      </c>
      <c r="V3" s="6">
        <v>5</v>
      </c>
    </row>
    <row r="4" spans="1:24" x14ac:dyDescent="0.35">
      <c r="B4" t="s">
        <v>95</v>
      </c>
      <c r="E4" s="19">
        <v>0.65</v>
      </c>
      <c r="G4" s="19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45</v>
      </c>
      <c r="R4" s="2">
        <v>3800</v>
      </c>
      <c r="T4" s="6">
        <v>3</v>
      </c>
      <c r="U4" s="3" t="s">
        <v>58</v>
      </c>
      <c r="V4" s="6">
        <v>6</v>
      </c>
    </row>
    <row r="5" spans="1:24" x14ac:dyDescent="0.35">
      <c r="B5" t="s">
        <v>96</v>
      </c>
      <c r="E5" s="19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46</v>
      </c>
      <c r="R5" s="2">
        <v>3900</v>
      </c>
      <c r="T5" s="6">
        <v>4</v>
      </c>
      <c r="U5" s="3" t="s">
        <v>59</v>
      </c>
      <c r="V5" s="6">
        <v>7</v>
      </c>
    </row>
    <row r="6" spans="1:24" x14ac:dyDescent="0.35">
      <c r="B6" t="s">
        <v>97</v>
      </c>
      <c r="E6" s="19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47</v>
      </c>
      <c r="R6" s="2">
        <v>0</v>
      </c>
      <c r="T6" s="6">
        <v>4</v>
      </c>
      <c r="U6" s="3" t="s">
        <v>60</v>
      </c>
      <c r="V6" s="6">
        <v>8</v>
      </c>
    </row>
    <row r="7" spans="1:24" x14ac:dyDescent="0.35">
      <c r="B7" t="s">
        <v>98</v>
      </c>
      <c r="E7" s="19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48</v>
      </c>
      <c r="R7" s="2">
        <v>0</v>
      </c>
    </row>
    <row r="8" spans="1:24" x14ac:dyDescent="0.35">
      <c r="B8" t="s">
        <v>99</v>
      </c>
      <c r="E8" s="19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49</v>
      </c>
      <c r="R8" s="2">
        <v>0</v>
      </c>
      <c r="T8" s="19" t="s">
        <v>26</v>
      </c>
      <c r="V8" s="19"/>
    </row>
    <row r="9" spans="1:24" x14ac:dyDescent="0.35">
      <c r="B9" t="s">
        <v>100</v>
      </c>
      <c r="D9" t="s">
        <v>26</v>
      </c>
      <c r="E9" s="19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50</v>
      </c>
      <c r="R9" s="2">
        <v>0</v>
      </c>
      <c r="T9" s="7" t="s">
        <v>26</v>
      </c>
      <c r="V9" s="19"/>
    </row>
    <row r="10" spans="1:24" x14ac:dyDescent="0.35">
      <c r="B10" t="s">
        <v>101</v>
      </c>
      <c r="D10" t="s">
        <v>26</v>
      </c>
      <c r="E10" s="19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51</v>
      </c>
      <c r="R10" s="2">
        <v>0</v>
      </c>
      <c r="V10" s="19"/>
    </row>
    <row r="11" spans="1:24" x14ac:dyDescent="0.35">
      <c r="D11" t="s">
        <v>26</v>
      </c>
      <c r="K11" s="7">
        <f>K10+2</f>
        <v>18.216216216216218</v>
      </c>
      <c r="Q11" s="2" t="s">
        <v>52</v>
      </c>
      <c r="R11" s="2">
        <v>0</v>
      </c>
      <c r="V11" s="19"/>
    </row>
    <row r="12" spans="1:24" x14ac:dyDescent="0.35">
      <c r="K12" s="7">
        <f>K11*5</f>
        <v>91.081081081081095</v>
      </c>
      <c r="Q12" s="2" t="s">
        <v>53</v>
      </c>
      <c r="R12" s="2">
        <v>0</v>
      </c>
      <c r="V12" s="19"/>
    </row>
    <row r="13" spans="1:24" ht="15" thickBot="1" x14ac:dyDescent="0.4">
      <c r="K13" s="7"/>
      <c r="Q13" s="2" t="s">
        <v>54</v>
      </c>
      <c r="R13" s="2">
        <v>4800</v>
      </c>
      <c r="V13" s="19"/>
    </row>
    <row r="14" spans="1:24" ht="15" thickBot="1" x14ac:dyDescent="0.4">
      <c r="K14" s="25" t="s">
        <v>123</v>
      </c>
      <c r="L14" s="26"/>
      <c r="M14" s="25" t="s">
        <v>123</v>
      </c>
      <c r="N14" s="27"/>
      <c r="Q14" s="2" t="s">
        <v>55</v>
      </c>
      <c r="R14" s="2">
        <f>SUM(R1:R13)</f>
        <v>17900</v>
      </c>
      <c r="V14" s="19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18" t="s">
        <v>5</v>
      </c>
      <c r="F15" s="18" t="s">
        <v>41</v>
      </c>
      <c r="G15" s="29" t="s">
        <v>11</v>
      </c>
      <c r="H15" s="29"/>
      <c r="I15" s="29" t="s">
        <v>12</v>
      </c>
      <c r="J15" s="29"/>
      <c r="K15" s="29" t="s">
        <v>13</v>
      </c>
      <c r="L15" s="29"/>
      <c r="M15" s="29" t="s">
        <v>14</v>
      </c>
      <c r="N15" s="29"/>
      <c r="O15" s="29" t="s">
        <v>15</v>
      </c>
      <c r="P15" s="29"/>
      <c r="Q15" s="30" t="s">
        <v>16</v>
      </c>
      <c r="R15" s="30"/>
      <c r="V15" s="18"/>
      <c r="W15" s="29"/>
      <c r="X15" s="29"/>
    </row>
    <row r="16" spans="1:24" x14ac:dyDescent="0.35">
      <c r="A16" s="19">
        <v>1</v>
      </c>
      <c r="B16" t="s">
        <v>103</v>
      </c>
      <c r="C16" t="s">
        <v>121</v>
      </c>
      <c r="D16" t="s">
        <v>40</v>
      </c>
      <c r="E16" s="12">
        <f>(R14/5000)*2</f>
        <v>7.16</v>
      </c>
      <c r="F16" s="12">
        <v>8</v>
      </c>
      <c r="G16" s="13">
        <f>4800+200</f>
        <v>5000</v>
      </c>
      <c r="H16" s="15">
        <f>G16*F16</f>
        <v>40000</v>
      </c>
      <c r="I16">
        <f>G16</f>
        <v>5000</v>
      </c>
      <c r="J16" s="15">
        <f>F16*G16</f>
        <v>40000</v>
      </c>
      <c r="K16">
        <f>G16</f>
        <v>5000</v>
      </c>
      <c r="L16" s="15">
        <f>K16*F16</f>
        <v>40000</v>
      </c>
      <c r="M16">
        <f>G16</f>
        <v>5000</v>
      </c>
      <c r="N16" s="15">
        <f>L16</f>
        <v>40000</v>
      </c>
      <c r="O16">
        <f>G16</f>
        <v>5000</v>
      </c>
      <c r="P16" s="15">
        <f>F16*O16</f>
        <v>40000</v>
      </c>
      <c r="Q16" s="13">
        <f>G16</f>
        <v>5000</v>
      </c>
      <c r="R16" s="14">
        <f>F16*Q16</f>
        <v>40000</v>
      </c>
      <c r="V16" s="19"/>
    </row>
    <row r="17" spans="1:24" x14ac:dyDescent="0.35">
      <c r="A17" s="19">
        <v>2</v>
      </c>
      <c r="B17" t="s">
        <v>67</v>
      </c>
      <c r="C17" t="s">
        <v>65</v>
      </c>
      <c r="D17" t="s">
        <v>64</v>
      </c>
      <c r="E17" s="12">
        <f>((R14-900)/2000)+2</f>
        <v>10.5</v>
      </c>
      <c r="F17" s="5">
        <v>11</v>
      </c>
      <c r="G17" s="20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66</v>
      </c>
      <c r="V17" s="19"/>
    </row>
    <row r="18" spans="1:24" x14ac:dyDescent="0.35">
      <c r="A18" s="19"/>
      <c r="B18" t="s">
        <v>67</v>
      </c>
      <c r="C18" t="s">
        <v>68</v>
      </c>
      <c r="D18" t="s">
        <v>69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f>1100+250</f>
        <v>1350</v>
      </c>
      <c r="P18" s="15">
        <f>O18*F18</f>
        <v>14850</v>
      </c>
      <c r="Q18" s="13">
        <f>O18</f>
        <v>1350</v>
      </c>
      <c r="R18" s="14">
        <f>Q18*F18</f>
        <v>14850</v>
      </c>
      <c r="T18" t="s">
        <v>70</v>
      </c>
      <c r="V18" s="19"/>
    </row>
    <row r="19" spans="1:24" x14ac:dyDescent="0.35">
      <c r="A19" s="19">
        <v>3</v>
      </c>
      <c r="B19" t="s">
        <v>104</v>
      </c>
      <c r="C19" t="s">
        <v>71</v>
      </c>
      <c r="E19" s="19">
        <v>1</v>
      </c>
      <c r="G19">
        <v>45000</v>
      </c>
      <c r="H19">
        <f t="shared" ref="H19:H46" si="0">G19*E19</f>
        <v>45000</v>
      </c>
      <c r="I19">
        <f>75000+10000</f>
        <v>85000</v>
      </c>
      <c r="J19">
        <f>E19*I19</f>
        <v>85000</v>
      </c>
      <c r="K19">
        <f>H19</f>
        <v>45000</v>
      </c>
      <c r="L19">
        <f>H19</f>
        <v>45000</v>
      </c>
      <c r="M19">
        <f>I19</f>
        <v>85000</v>
      </c>
      <c r="N19">
        <f>E19*M19</f>
        <v>85000</v>
      </c>
      <c r="O19">
        <v>45000</v>
      </c>
      <c r="P19">
        <f>E19*O19</f>
        <v>45000</v>
      </c>
      <c r="Q19" s="13">
        <f>I19</f>
        <v>85000</v>
      </c>
      <c r="R19" s="13">
        <f>E19*Q19</f>
        <v>85000</v>
      </c>
      <c r="S19" t="s">
        <v>26</v>
      </c>
      <c r="V19" s="19"/>
    </row>
    <row r="20" spans="1:24" x14ac:dyDescent="0.35">
      <c r="A20" s="19" t="s">
        <v>26</v>
      </c>
      <c r="B20" t="s">
        <v>105</v>
      </c>
      <c r="E20" s="19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5">
      <c r="A21" s="19"/>
      <c r="B21" t="s">
        <v>86</v>
      </c>
      <c r="E21" s="19">
        <v>1</v>
      </c>
      <c r="G21">
        <v>2500</v>
      </c>
      <c r="H21">
        <f>G21*E21</f>
        <v>2500</v>
      </c>
      <c r="I21">
        <f>G21</f>
        <v>2500</v>
      </c>
      <c r="J21">
        <f>I21*E21</f>
        <v>2500</v>
      </c>
      <c r="L21">
        <f>J21</f>
        <v>2500</v>
      </c>
      <c r="N21">
        <f>L21</f>
        <v>2500</v>
      </c>
      <c r="O21">
        <f>I21</f>
        <v>2500</v>
      </c>
      <c r="P21">
        <f>O21*E21</f>
        <v>2500</v>
      </c>
      <c r="Q21" s="13">
        <f>O21</f>
        <v>2500</v>
      </c>
      <c r="R21" s="13">
        <f>Q21*E21</f>
        <v>2500</v>
      </c>
    </row>
    <row r="22" spans="1:24" x14ac:dyDescent="0.35">
      <c r="A22" s="19"/>
      <c r="B22" t="s">
        <v>124</v>
      </c>
      <c r="E22" s="19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19">
        <v>4</v>
      </c>
      <c r="B23" t="s">
        <v>106</v>
      </c>
      <c r="D23" t="s">
        <v>74</v>
      </c>
      <c r="E23" s="19">
        <v>1</v>
      </c>
      <c r="G23">
        <f>37500+1500</f>
        <v>39000</v>
      </c>
      <c r="H23">
        <f t="shared" si="0"/>
        <v>39000</v>
      </c>
      <c r="I23">
        <f>G23</f>
        <v>39000</v>
      </c>
      <c r="J23">
        <f>E23*I23</f>
        <v>39000</v>
      </c>
      <c r="K23" t="s">
        <v>26</v>
      </c>
      <c r="L23">
        <f>J23</f>
        <v>39000</v>
      </c>
      <c r="M23" t="s">
        <v>26</v>
      </c>
      <c r="N23">
        <f>L23</f>
        <v>39000</v>
      </c>
      <c r="O23">
        <v>0</v>
      </c>
      <c r="P23">
        <v>0</v>
      </c>
      <c r="Q23" s="13">
        <v>0</v>
      </c>
      <c r="R23" s="13">
        <v>0</v>
      </c>
      <c r="T23" s="28" t="s">
        <v>91</v>
      </c>
      <c r="U23" s="28"/>
      <c r="V23" s="28"/>
      <c r="W23" s="28"/>
      <c r="X23" s="28"/>
    </row>
    <row r="24" spans="1:24" x14ac:dyDescent="0.35">
      <c r="A24" s="19">
        <v>4</v>
      </c>
      <c r="B24" t="s">
        <v>107</v>
      </c>
      <c r="D24" t="s">
        <v>75</v>
      </c>
      <c r="E24" s="19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>
        <f>55500+1500+6800+4200</f>
        <v>68000</v>
      </c>
      <c r="P24">
        <f>E24*O24</f>
        <v>68000</v>
      </c>
      <c r="Q24" s="13">
        <f>O24</f>
        <v>68000</v>
      </c>
      <c r="R24" s="13">
        <f>E24*Q24</f>
        <v>68000</v>
      </c>
      <c r="T24" s="28" t="s">
        <v>91</v>
      </c>
      <c r="U24" s="28"/>
      <c r="V24" s="28"/>
      <c r="W24" s="28"/>
      <c r="X24" s="28"/>
    </row>
    <row r="25" spans="1:24" x14ac:dyDescent="0.35">
      <c r="A25" s="19">
        <v>5</v>
      </c>
      <c r="B25" t="s">
        <v>27</v>
      </c>
      <c r="E25" s="19">
        <v>1</v>
      </c>
      <c r="G25">
        <f>12500+500</f>
        <v>13000</v>
      </c>
      <c r="H25">
        <f t="shared" si="0"/>
        <v>13000</v>
      </c>
      <c r="I25">
        <f>G25</f>
        <v>13000</v>
      </c>
      <c r="J25">
        <f>E25*I25</f>
        <v>13000</v>
      </c>
      <c r="K25" t="s">
        <v>26</v>
      </c>
      <c r="L25">
        <f>J25</f>
        <v>13000</v>
      </c>
      <c r="M25" t="s">
        <v>26</v>
      </c>
      <c r="N25">
        <f>L25</f>
        <v>13000</v>
      </c>
      <c r="O25">
        <f>G25</f>
        <v>13000</v>
      </c>
      <c r="P25">
        <f>E25*O25</f>
        <v>13000</v>
      </c>
      <c r="Q25" s="13">
        <f>G25</f>
        <v>13000</v>
      </c>
      <c r="R25" s="13">
        <f>E25*Q25</f>
        <v>13000</v>
      </c>
    </row>
    <row r="26" spans="1:24" x14ac:dyDescent="0.35">
      <c r="A26" s="19">
        <v>5</v>
      </c>
      <c r="B26" t="s">
        <v>0</v>
      </c>
      <c r="E26" s="19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19">
        <v>16</v>
      </c>
      <c r="B27" t="s">
        <v>108</v>
      </c>
      <c r="D27" t="s">
        <v>38</v>
      </c>
      <c r="E27" s="19">
        <v>1</v>
      </c>
      <c r="G27" s="22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f>75100+2000+2500</f>
        <v>79600</v>
      </c>
      <c r="P27">
        <f>E27*O27</f>
        <v>79600</v>
      </c>
      <c r="Q27" s="13">
        <f>P27</f>
        <v>79600</v>
      </c>
      <c r="R27" s="13">
        <f>E27*Q27</f>
        <v>79600</v>
      </c>
      <c r="S27" t="s">
        <v>39</v>
      </c>
      <c r="U27" t="s">
        <v>92</v>
      </c>
    </row>
    <row r="28" spans="1:24" x14ac:dyDescent="0.35">
      <c r="A28" s="19"/>
      <c r="B28" t="s">
        <v>73</v>
      </c>
      <c r="E28" s="19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93</v>
      </c>
    </row>
    <row r="29" spans="1:24" x14ac:dyDescent="0.35">
      <c r="A29" s="19">
        <v>6</v>
      </c>
      <c r="B29" t="s">
        <v>109</v>
      </c>
      <c r="C29" t="s">
        <v>76</v>
      </c>
      <c r="D29" t="s">
        <v>77</v>
      </c>
      <c r="E29" s="10">
        <f>((R14/1000)+2)*3</f>
        <v>59.699999999999996</v>
      </c>
      <c r="F29" s="11"/>
      <c r="G29" s="13">
        <v>113</v>
      </c>
      <c r="H29" s="15">
        <f>G29*E29</f>
        <v>6746.0999999999995</v>
      </c>
      <c r="I29">
        <f>G29</f>
        <v>113</v>
      </c>
      <c r="J29" s="15">
        <f>E29*I29</f>
        <v>6746.0999999999995</v>
      </c>
      <c r="K29">
        <f>I29</f>
        <v>113</v>
      </c>
      <c r="L29" s="15">
        <f t="shared" ref="L29:L41" si="1">K29*E29</f>
        <v>6746.0999999999995</v>
      </c>
      <c r="M29">
        <f>K29</f>
        <v>113</v>
      </c>
      <c r="N29" s="15">
        <f t="shared" ref="N29:N42" si="2">E29*M29</f>
        <v>6746.0999999999995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19">
        <v>6</v>
      </c>
      <c r="B30" t="s">
        <v>109</v>
      </c>
      <c r="C30" t="s">
        <v>78</v>
      </c>
      <c r="D30" t="s">
        <v>77</v>
      </c>
      <c r="E30" s="10">
        <f>(((R14/1000)*2)+2)*4</f>
        <v>151.19999999999999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11642.4</v>
      </c>
      <c r="Q30" s="13">
        <f>O30</f>
        <v>77</v>
      </c>
      <c r="R30" s="14">
        <f>Q30*E30</f>
        <v>11642.4</v>
      </c>
    </row>
    <row r="31" spans="1:24" x14ac:dyDescent="0.35">
      <c r="A31" s="19">
        <v>7</v>
      </c>
      <c r="B31" t="s">
        <v>110</v>
      </c>
      <c r="C31" t="s">
        <v>79</v>
      </c>
      <c r="D31" t="s">
        <v>87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19">
        <v>8</v>
      </c>
      <c r="B32" t="s">
        <v>20</v>
      </c>
      <c r="E32" s="19">
        <v>1</v>
      </c>
      <c r="G32" s="13">
        <v>28000</v>
      </c>
      <c r="H32">
        <f t="shared" si="0"/>
        <v>28000</v>
      </c>
      <c r="I32">
        <f>H32</f>
        <v>28000</v>
      </c>
      <c r="J32">
        <f>E32*I32</f>
        <v>28000</v>
      </c>
      <c r="K32" t="s">
        <v>26</v>
      </c>
      <c r="L32">
        <f>J32</f>
        <v>28000</v>
      </c>
      <c r="M32" t="s">
        <v>26</v>
      </c>
      <c r="N32">
        <f>L32</f>
        <v>28000</v>
      </c>
      <c r="O32" s="13">
        <f>40000</f>
        <v>40000</v>
      </c>
      <c r="P32">
        <f>E32*O32</f>
        <v>40000</v>
      </c>
      <c r="Q32" s="13">
        <f>P32</f>
        <v>40000</v>
      </c>
      <c r="R32" s="13">
        <f>E32*Q32</f>
        <v>40000</v>
      </c>
    </row>
    <row r="33" spans="1:21" x14ac:dyDescent="0.35">
      <c r="A33" s="19">
        <v>9</v>
      </c>
      <c r="B33" t="s">
        <v>111</v>
      </c>
      <c r="D33" t="s">
        <v>80</v>
      </c>
      <c r="E33" s="19">
        <f>E30/4</f>
        <v>37.799999999999997</v>
      </c>
      <c r="G33" s="15">
        <f>(E33*O30)+4000+1000</f>
        <v>7910.6</v>
      </c>
      <c r="H33" s="15">
        <f>G33</f>
        <v>7910.6</v>
      </c>
      <c r="I33" s="15">
        <f>H33</f>
        <v>7910.6</v>
      </c>
      <c r="J33" s="15">
        <f>I33</f>
        <v>7910.6</v>
      </c>
      <c r="K33" s="15" t="s">
        <v>26</v>
      </c>
      <c r="L33" s="15">
        <f>J33</f>
        <v>7910.6</v>
      </c>
      <c r="M33" s="15" t="s">
        <v>26</v>
      </c>
      <c r="N33" s="15">
        <f>L33</f>
        <v>7910.6</v>
      </c>
      <c r="O33" s="15">
        <f>J33</f>
        <v>7910.6</v>
      </c>
      <c r="P33" s="15">
        <f>O33</f>
        <v>7910.6</v>
      </c>
      <c r="Q33" s="14">
        <f>P33</f>
        <v>7910.6</v>
      </c>
      <c r="R33" s="14">
        <f>Q33</f>
        <v>7910.6</v>
      </c>
    </row>
    <row r="34" spans="1:21" x14ac:dyDescent="0.35">
      <c r="A34" s="19">
        <v>10</v>
      </c>
      <c r="B34" t="s">
        <v>112</v>
      </c>
      <c r="D34" s="15">
        <f>15.5*38*(15.5+2)</f>
        <v>10307.5</v>
      </c>
      <c r="E34" s="19">
        <v>1</v>
      </c>
      <c r="G34" s="15">
        <f>D34</f>
        <v>10307.5</v>
      </c>
      <c r="H34" s="15">
        <f t="shared" si="0"/>
        <v>10307.5</v>
      </c>
      <c r="I34" s="15">
        <f>H34</f>
        <v>10307.5</v>
      </c>
      <c r="J34" s="15">
        <f>E34*I34</f>
        <v>10307.5</v>
      </c>
      <c r="K34" s="15" t="s">
        <v>26</v>
      </c>
      <c r="L34" s="15">
        <f>J34</f>
        <v>10307.5</v>
      </c>
      <c r="M34" s="15" t="s">
        <v>26</v>
      </c>
      <c r="N34" s="15">
        <f>L34</f>
        <v>10307.5</v>
      </c>
      <c r="O34" s="15">
        <f>J34</f>
        <v>10307.5</v>
      </c>
      <c r="P34" s="15">
        <f>E34*O34</f>
        <v>10307.5</v>
      </c>
      <c r="Q34" s="14">
        <f>P34</f>
        <v>10307.5</v>
      </c>
      <c r="R34" s="14">
        <f>E34*Q34</f>
        <v>10307.5</v>
      </c>
      <c r="S34" t="s">
        <v>26</v>
      </c>
      <c r="U34" t="s">
        <v>81</v>
      </c>
    </row>
    <row r="35" spans="1:21" x14ac:dyDescent="0.35">
      <c r="A35" s="19">
        <v>11</v>
      </c>
      <c r="B35" t="s">
        <v>113</v>
      </c>
      <c r="E35" s="19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19">
        <v>12</v>
      </c>
      <c r="B36" t="s">
        <v>114</v>
      </c>
      <c r="C36" t="s">
        <v>82</v>
      </c>
      <c r="D36" s="23">
        <f>R14/1000+10+10</f>
        <v>37.9</v>
      </c>
      <c r="E36" s="2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19">
        <v>12</v>
      </c>
      <c r="B37" t="s">
        <v>114</v>
      </c>
      <c r="C37" t="s">
        <v>83</v>
      </c>
      <c r="D37" s="23">
        <f>(R14/1000)+G3*3+13</f>
        <v>42.9</v>
      </c>
      <c r="E37" s="2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19">
        <v>12</v>
      </c>
      <c r="B38" t="s">
        <v>114</v>
      </c>
      <c r="C38" t="s">
        <v>84</v>
      </c>
      <c r="D38" s="23">
        <f>((R14/1000)+5)+G3*2+(R14/1000*8)</f>
        <v>174.1</v>
      </c>
      <c r="E38" s="2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19">
        <v>12</v>
      </c>
      <c r="B39" t="s">
        <v>114</v>
      </c>
      <c r="C39" t="s">
        <v>128</v>
      </c>
      <c r="D39" s="23">
        <v>50</v>
      </c>
      <c r="E39" s="2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19">
        <v>12</v>
      </c>
      <c r="B40" t="s">
        <v>114</v>
      </c>
      <c r="C40" t="s">
        <v>127</v>
      </c>
      <c r="D40" s="23">
        <v>50</v>
      </c>
      <c r="E40" s="2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18">
        <v>13</v>
      </c>
      <c r="B41" s="8" t="s">
        <v>115</v>
      </c>
      <c r="D41" s="8" t="s">
        <v>126</v>
      </c>
      <c r="E41" s="19">
        <v>1</v>
      </c>
      <c r="F41" s="18"/>
      <c r="G41" s="16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">
        <f>I41</f>
        <v>57016</v>
      </c>
      <c r="R41" s="1">
        <f>E41*Q41</f>
        <v>57016</v>
      </c>
      <c r="S41" s="8" t="s">
        <v>26</v>
      </c>
    </row>
    <row r="42" spans="1:21" s="8" customFormat="1" x14ac:dyDescent="0.35">
      <c r="A42" s="18">
        <v>14</v>
      </c>
      <c r="B42" s="8" t="s">
        <v>116</v>
      </c>
      <c r="D42" s="8" t="s">
        <v>126</v>
      </c>
      <c r="E42" s="18">
        <f>G3</f>
        <v>4</v>
      </c>
      <c r="F42" s="18"/>
      <c r="G42" s="16">
        <v>17880</v>
      </c>
      <c r="H42" s="8">
        <f t="shared" si="0"/>
        <v>71520</v>
      </c>
      <c r="I42" s="8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35000+3800+1500</f>
        <v>40300</v>
      </c>
      <c r="N42" s="8">
        <f t="shared" si="2"/>
        <v>161200</v>
      </c>
      <c r="O42" s="8">
        <f t="shared" si="5"/>
        <v>17880</v>
      </c>
      <c r="P42" s="8">
        <f>E42*O42</f>
        <v>71520</v>
      </c>
      <c r="Q42" s="1">
        <f>I42</f>
        <v>40191</v>
      </c>
      <c r="R42" s="1">
        <f>E42*Q42</f>
        <v>160764</v>
      </c>
      <c r="S42" s="8" t="s">
        <v>26</v>
      </c>
    </row>
    <row r="43" spans="1:21" x14ac:dyDescent="0.35">
      <c r="A43" s="19">
        <v>17</v>
      </c>
      <c r="B43" t="s">
        <v>1</v>
      </c>
      <c r="C43" s="8" t="s">
        <v>36</v>
      </c>
      <c r="E43" s="19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>
        <v>10000</v>
      </c>
      <c r="L43">
        <f>J43</f>
        <v>25000</v>
      </c>
      <c r="M43">
        <v>10000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85</v>
      </c>
    </row>
    <row r="44" spans="1:21" x14ac:dyDescent="0.35">
      <c r="A44" s="19">
        <v>18</v>
      </c>
      <c r="B44" t="s">
        <v>117</v>
      </c>
      <c r="C44">
        <f>1500+1500+1000+1000</f>
        <v>5000</v>
      </c>
      <c r="D44" t="s">
        <v>122</v>
      </c>
      <c r="E44" s="19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>
        <v>10000</v>
      </c>
      <c r="L44">
        <v>5000</v>
      </c>
      <c r="M44">
        <v>10000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5">
      <c r="A45" s="19"/>
      <c r="B45" t="s">
        <v>72</v>
      </c>
      <c r="D45">
        <f>2000+1000+2000</f>
        <v>5000</v>
      </c>
      <c r="E45" s="19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5">
      <c r="A46" s="19">
        <v>19</v>
      </c>
      <c r="B46" t="s">
        <v>118</v>
      </c>
      <c r="E46" s="19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19"/>
      <c r="D47" t="s">
        <v>10</v>
      </c>
      <c r="H47" s="15">
        <f>SUM(H16:H46)</f>
        <v>489994</v>
      </c>
      <c r="J47" s="15">
        <f>SUM(J16:J46)</f>
        <v>633009</v>
      </c>
      <c r="L47" s="15">
        <f>SUM(L16:L46)</f>
        <v>428429</v>
      </c>
      <c r="N47" s="15">
        <f>SUM(N16:N46)</f>
        <v>598429</v>
      </c>
      <c r="P47" s="15">
        <f>SUM(P16:P46)</f>
        <v>553390.30000000005</v>
      </c>
      <c r="R47" s="14">
        <f>SUM(R16:R46)</f>
        <v>696405.3</v>
      </c>
    </row>
    <row r="48" spans="1:21" x14ac:dyDescent="0.35">
      <c r="A48" s="19">
        <v>20</v>
      </c>
      <c r="B48" t="s">
        <v>88</v>
      </c>
      <c r="D48" t="s">
        <v>89</v>
      </c>
      <c r="E48" s="19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5">
      <c r="A49" s="19">
        <v>21</v>
      </c>
      <c r="B49" t="s">
        <v>119</v>
      </c>
      <c r="E49" s="19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19">
        <v>22</v>
      </c>
      <c r="B50" t="s">
        <v>120</v>
      </c>
      <c r="E50" s="19">
        <v>1</v>
      </c>
      <c r="G50" s="15">
        <f>H47*5%</f>
        <v>24499.7</v>
      </c>
      <c r="H50" s="15">
        <f>G50*E50</f>
        <v>24499.7</v>
      </c>
      <c r="I50" s="15">
        <f>J47*5%</f>
        <v>31650.45</v>
      </c>
      <c r="J50" s="15">
        <f>E50*I50</f>
        <v>31650.45</v>
      </c>
      <c r="K50" s="15">
        <f>L47*5%</f>
        <v>21421.45</v>
      </c>
      <c r="L50" s="15">
        <f>K50*E50</f>
        <v>21421.45</v>
      </c>
      <c r="M50" s="15">
        <f>N47*5%</f>
        <v>29921.45</v>
      </c>
      <c r="N50" s="15">
        <f>E50*M50</f>
        <v>29921.45</v>
      </c>
      <c r="O50" s="15">
        <f>P47*5%</f>
        <v>27669.515000000003</v>
      </c>
      <c r="P50" s="15">
        <f>E50*O50</f>
        <v>27669.515000000003</v>
      </c>
      <c r="Q50" s="14">
        <f>R47*5%</f>
        <v>34820.265000000007</v>
      </c>
      <c r="R50" s="14">
        <f>E50*Q50</f>
        <v>34820.265000000007</v>
      </c>
    </row>
    <row r="51" spans="1:18" x14ac:dyDescent="0.35">
      <c r="D51" t="s">
        <v>10</v>
      </c>
      <c r="H51" s="15">
        <f>H47+H48+H49+H50</f>
        <v>574493.69999999995</v>
      </c>
      <c r="J51" s="15">
        <f>J47+J48+J49+J50</f>
        <v>724659.45</v>
      </c>
      <c r="L51" s="15">
        <f>L47+L48+L49+L50</f>
        <v>509850.45</v>
      </c>
      <c r="N51" s="15">
        <f>N47+N48+N49+N50</f>
        <v>688350.45</v>
      </c>
      <c r="P51" s="15">
        <f>P47+P48+P49+P50</f>
        <v>641059.81500000006</v>
      </c>
      <c r="R51" s="14">
        <f>R47+R48+R49+R50</f>
        <v>791225.56500000006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694493.7</v>
      </c>
      <c r="J53" s="15">
        <f>J52+J51</f>
        <v>844659.45</v>
      </c>
      <c r="L53" s="15">
        <f>L52+L51</f>
        <v>629850.44999999995</v>
      </c>
      <c r="N53" s="15">
        <f>N52+N51</f>
        <v>808350.45</v>
      </c>
      <c r="P53" s="15">
        <f>P52+P51</f>
        <v>761059.81500000006</v>
      </c>
      <c r="R53" s="14">
        <f>R52+R51</f>
        <v>911225.56500000006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</vt:lpstr>
      <vt:lpstr>bv</vt:lpstr>
      <vt:lpstr>RG-BV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2026-04-28T07:36:21Z</dcterms:modified>
</cp:coreProperties>
</file>