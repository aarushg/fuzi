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9A4D2B09-A58D-4F14-A3CC-E2C5D7A267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H49" i="3"/>
  <c r="I49" i="3" s="1"/>
  <c r="I48" i="3"/>
  <c r="O48" i="3" s="1"/>
  <c r="Q48" i="3" s="1"/>
  <c r="E48" i="3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Q44" i="3"/>
  <c r="R44" i="3" s="1"/>
  <c r="O44" i="3"/>
  <c r="P44" i="3" s="1"/>
  <c r="I44" i="3"/>
  <c r="J44" i="3" s="1"/>
  <c r="H44" i="3"/>
  <c r="C44" i="3"/>
  <c r="Q43" i="3"/>
  <c r="R43" i="3" s="1"/>
  <c r="O43" i="3"/>
  <c r="P43" i="3" s="1"/>
  <c r="I43" i="3"/>
  <c r="J43" i="3" s="1"/>
  <c r="L43" i="3" s="1"/>
  <c r="N43" i="3" s="1"/>
  <c r="H43" i="3"/>
  <c r="Q42" i="3"/>
  <c r="O42" i="3"/>
  <c r="M42" i="3"/>
  <c r="K42" i="3"/>
  <c r="E42" i="3"/>
  <c r="P42" i="3" s="1"/>
  <c r="Q41" i="3"/>
  <c r="R41" i="3" s="1"/>
  <c r="O41" i="3"/>
  <c r="P41" i="3" s="1"/>
  <c r="M41" i="3"/>
  <c r="N41" i="3" s="1"/>
  <c r="K41" i="3"/>
  <c r="L41" i="3" s="1"/>
  <c r="J41" i="3"/>
  <c r="H41" i="3"/>
  <c r="G40" i="3"/>
  <c r="Q40" i="3" s="1"/>
  <c r="R40" i="3" s="1"/>
  <c r="G39" i="3"/>
  <c r="O39" i="3" s="1"/>
  <c r="P39" i="3" s="1"/>
  <c r="G38" i="3"/>
  <c r="Q38" i="3" s="1"/>
  <c r="R38" i="3" s="1"/>
  <c r="G37" i="3"/>
  <c r="Q37" i="3" s="1"/>
  <c r="R37" i="3" s="1"/>
  <c r="G36" i="3"/>
  <c r="O36" i="3" s="1"/>
  <c r="P36" i="3" s="1"/>
  <c r="N35" i="3"/>
  <c r="G35" i="3"/>
  <c r="H35" i="3" s="1"/>
  <c r="D34" i="3"/>
  <c r="G34" i="3" s="1"/>
  <c r="H34" i="3" s="1"/>
  <c r="I34" i="3" s="1"/>
  <c r="J34" i="3" s="1"/>
  <c r="H32" i="3"/>
  <c r="I32" i="3" s="1"/>
  <c r="J32" i="3" s="1"/>
  <c r="L32" i="3" s="1"/>
  <c r="N32" i="3" s="1"/>
  <c r="O32" i="3" s="1"/>
  <c r="P32" i="3" s="1"/>
  <c r="Q32" i="3" s="1"/>
  <c r="R32" i="3" s="1"/>
  <c r="I31" i="3"/>
  <c r="O31" i="3" s="1"/>
  <c r="Q31" i="3" s="1"/>
  <c r="Q30" i="3"/>
  <c r="I29" i="3"/>
  <c r="K29" i="3" s="1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G27" i="3"/>
  <c r="H27" i="3" s="1"/>
  <c r="I27" i="3" s="1"/>
  <c r="G26" i="3"/>
  <c r="Q26" i="3" s="1"/>
  <c r="R26" i="3" s="1"/>
  <c r="P25" i="3"/>
  <c r="O25" i="3"/>
  <c r="G25" i="3"/>
  <c r="H25" i="3" s="1"/>
  <c r="O24" i="3"/>
  <c r="P24" i="3" s="1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I21" i="3"/>
  <c r="O21" i="3" s="1"/>
  <c r="H21" i="3"/>
  <c r="H20" i="3"/>
  <c r="J20" i="3" s="1"/>
  <c r="L20" i="3" s="1"/>
  <c r="N20" i="3" s="1"/>
  <c r="P20" i="3" s="1"/>
  <c r="R20" i="3" s="1"/>
  <c r="Q19" i="3"/>
  <c r="R19" i="3" s="1"/>
  <c r="O19" i="3"/>
  <c r="P19" i="3" s="1"/>
  <c r="M19" i="3"/>
  <c r="N19" i="3" s="1"/>
  <c r="L19" i="3"/>
  <c r="K19" i="3"/>
  <c r="J19" i="3"/>
  <c r="H19" i="3"/>
  <c r="Q18" i="3"/>
  <c r="M17" i="3"/>
  <c r="K17" i="3"/>
  <c r="G17" i="3"/>
  <c r="I17" i="3" s="1"/>
  <c r="J17" i="3" s="1"/>
  <c r="L17" i="3" s="1"/>
  <c r="N17" i="3" s="1"/>
  <c r="G16" i="3"/>
  <c r="O16" i="3" s="1"/>
  <c r="P16" i="3" s="1"/>
  <c r="R14" i="3"/>
  <c r="D37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I16" i="3" l="1"/>
  <c r="H16" i="3"/>
  <c r="I38" i="3"/>
  <c r="J38" i="3" s="1"/>
  <c r="L38" i="3" s="1"/>
  <c r="N38" i="3" s="1"/>
  <c r="H26" i="3"/>
  <c r="O38" i="3"/>
  <c r="P38" i="3" s="1"/>
  <c r="J42" i="3"/>
  <c r="J16" i="3"/>
  <c r="L42" i="3"/>
  <c r="P48" i="3"/>
  <c r="M16" i="3"/>
  <c r="Q16" i="3"/>
  <c r="R16" i="3" s="1"/>
  <c r="I35" i="3"/>
  <c r="J35" i="3" s="1"/>
  <c r="I40" i="3"/>
  <c r="J40" i="3" s="1"/>
  <c r="L40" i="3" s="1"/>
  <c r="N40" i="3" s="1"/>
  <c r="N42" i="3"/>
  <c r="K48" i="3"/>
  <c r="M48" i="3" s="1"/>
  <c r="N48" i="3" s="1"/>
  <c r="Q24" i="3"/>
  <c r="R24" i="3" s="1"/>
  <c r="O40" i="3"/>
  <c r="P40" i="3" s="1"/>
  <c r="R42" i="3"/>
  <c r="I25" i="3"/>
  <c r="J25" i="3" s="1"/>
  <c r="L25" i="3" s="1"/>
  <c r="N25" i="3" s="1"/>
  <c r="H37" i="3"/>
  <c r="J21" i="3"/>
  <c r="L21" i="3" s="1"/>
  <c r="N21" i="3" s="1"/>
  <c r="I37" i="3"/>
  <c r="J37" i="3" s="1"/>
  <c r="L37" i="3" s="1"/>
  <c r="N37" i="3" s="1"/>
  <c r="O37" i="3"/>
  <c r="P37" i="3" s="1"/>
  <c r="J27" i="3"/>
  <c r="L27" i="3" s="1"/>
  <c r="M27" i="3"/>
  <c r="N27" i="3" s="1"/>
  <c r="O34" i="3"/>
  <c r="P34" i="3" s="1"/>
  <c r="Q34" i="3" s="1"/>
  <c r="R34" i="3" s="1"/>
  <c r="L34" i="3"/>
  <c r="N34" i="3" s="1"/>
  <c r="J49" i="3"/>
  <c r="K49" i="3"/>
  <c r="L49" i="3" s="1"/>
  <c r="M49" i="3" s="1"/>
  <c r="N49" i="3" s="1"/>
  <c r="O49" i="3" s="1"/>
  <c r="P49" i="3" s="1"/>
  <c r="Q49" i="3" s="1"/>
  <c r="R49" i="3" s="1"/>
  <c r="Q21" i="3"/>
  <c r="R21" i="3" s="1"/>
  <c r="P21" i="3"/>
  <c r="K26" i="3"/>
  <c r="L26" i="3" s="1"/>
  <c r="O26" i="3"/>
  <c r="P26" i="3" s="1"/>
  <c r="M29" i="3"/>
  <c r="E30" i="3"/>
  <c r="E31" i="3"/>
  <c r="K31" i="3"/>
  <c r="O35" i="3"/>
  <c r="D36" i="3"/>
  <c r="H38" i="3"/>
  <c r="H40" i="3"/>
  <c r="H42" i="3"/>
  <c r="J48" i="3"/>
  <c r="R48" i="3"/>
  <c r="H17" i="3"/>
  <c r="P17" i="3" s="1"/>
  <c r="R17" i="3" s="1"/>
  <c r="O22" i="3"/>
  <c r="Q36" i="3"/>
  <c r="R36" i="3" s="1"/>
  <c r="Q39" i="3"/>
  <c r="R39" i="3" s="1"/>
  <c r="O45" i="3"/>
  <c r="H23" i="3"/>
  <c r="Q25" i="3"/>
  <c r="R25" i="3" s="1"/>
  <c r="I26" i="3"/>
  <c r="J26" i="3" s="1"/>
  <c r="M26" i="3"/>
  <c r="N26" i="3" s="1"/>
  <c r="E29" i="3"/>
  <c r="H36" i="3"/>
  <c r="D38" i="3"/>
  <c r="H39" i="3"/>
  <c r="H48" i="3"/>
  <c r="E16" i="3"/>
  <c r="K16" i="3"/>
  <c r="L16" i="3" s="1"/>
  <c r="E17" i="3"/>
  <c r="E18" i="3" s="1"/>
  <c r="I36" i="3"/>
  <c r="J36" i="3" s="1"/>
  <c r="L36" i="3" s="1"/>
  <c r="N36" i="3" s="1"/>
  <c r="I39" i="3"/>
  <c r="J39" i="3" s="1"/>
  <c r="L39" i="3" s="1"/>
  <c r="N39" i="3" s="1"/>
  <c r="L48" i="3" l="1"/>
  <c r="M31" i="3"/>
  <c r="N31" i="3" s="1"/>
  <c r="L31" i="3"/>
  <c r="R31" i="3"/>
  <c r="J31" i="3"/>
  <c r="P31" i="3"/>
  <c r="H31" i="3"/>
  <c r="N16" i="3"/>
  <c r="Q45" i="3"/>
  <c r="R45" i="3" s="1"/>
  <c r="P45" i="3"/>
  <c r="Q35" i="3"/>
  <c r="R35" i="3" s="1"/>
  <c r="P35" i="3"/>
  <c r="J18" i="3"/>
  <c r="N18" i="3"/>
  <c r="L18" i="3"/>
  <c r="R29" i="3"/>
  <c r="H29" i="3"/>
  <c r="P29" i="3"/>
  <c r="N29" i="3"/>
  <c r="J29" i="3"/>
  <c r="Q22" i="3"/>
  <c r="R22" i="3" s="1"/>
  <c r="P22" i="3"/>
  <c r="L30" i="3"/>
  <c r="J30" i="3"/>
  <c r="E33" i="3"/>
  <c r="G33" i="3" s="1"/>
  <c r="H33" i="3" s="1"/>
  <c r="I33" i="3" s="1"/>
  <c r="J33" i="3" s="1"/>
  <c r="P30" i="3"/>
  <c r="H30" i="3"/>
  <c r="N30" i="3"/>
  <c r="L29" i="3"/>
  <c r="R30" i="3"/>
  <c r="H47" i="3" l="1"/>
  <c r="G50" i="3"/>
  <c r="H50" i="3" s="1"/>
  <c r="H51" i="3" s="1"/>
  <c r="H53" i="3" s="1"/>
  <c r="L33" i="3"/>
  <c r="O33" i="3"/>
  <c r="P33" i="3" s="1"/>
  <c r="Q33" i="3" s="1"/>
  <c r="R33" i="3" s="1"/>
  <c r="R47" i="3" s="1"/>
  <c r="J47" i="3"/>
  <c r="P47" i="3" l="1"/>
  <c r="Q50" i="3"/>
  <c r="R50" i="3" s="1"/>
  <c r="R51" i="3"/>
  <c r="R53" i="3" s="1"/>
  <c r="I50" i="3"/>
  <c r="J50" i="3" s="1"/>
  <c r="J51" i="3" s="1"/>
  <c r="J53" i="3" s="1"/>
  <c r="O50" i="3"/>
  <c r="P50" i="3" s="1"/>
  <c r="P51" i="3" s="1"/>
  <c r="P53" i="3" s="1"/>
  <c r="N33" i="3"/>
  <c r="N47" i="3" s="1"/>
  <c r="L47" i="3"/>
  <c r="M50" i="3" l="1"/>
  <c r="N50" i="3" s="1"/>
  <c r="N51" i="3" s="1"/>
  <c r="N53" i="3" s="1"/>
  <c r="K50" i="3"/>
  <c r="L50" i="3" s="1"/>
  <c r="L51" i="3" s="1"/>
  <c r="L53" i="3" s="1"/>
</calcChain>
</file>

<file path=xl/sharedStrings.xml><?xml version="1.0" encoding="utf-8"?>
<sst xmlns="http://schemas.openxmlformats.org/spreadsheetml/2006/main" count="189" uniqueCount="128">
  <si>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</si>
  <si>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</si>
  <si>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</si>
  <si>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</si>
  <si>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</si>
  <si>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</si>
  <si>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</si>
  <si>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</si>
  <si>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</si>
  <si>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</si>
  <si>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</si>
  <si>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</si>
  <si>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</si>
  <si>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</si>
  <si>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</si>
  <si>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</si>
  <si>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</si>
  <si>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</si>
  <si>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</si>
  <si>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</si>
  <si>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</si>
  <si>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</si>
  <si>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</si>
  <si>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</si>
  <si>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</si>
  <si>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</si>
  <si>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</si>
  <si>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</si>
  <si>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</si>
  <si>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</si>
  <si>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</si>
  <si>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</si>
  <si>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</si>
  <si>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</si>
  <si>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</si>
  <si>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</si>
  <si>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</si>
  <si>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</si>
  <si>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</si>
  <si>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</si>
  <si>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</si>
  <si>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</si>
  <si>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</si>
  <si>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</si>
  <si>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</si>
  <si>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</si>
  <si>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</si>
  <si>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</si>
  <si>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</si>
  <si>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</si>
  <si>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</si>
  <si>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</si>
  <si>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</si>
  <si>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</si>
  <si>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</si>
  <si>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</si>
  <si>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</si>
  <si>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</si>
  <si>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</si>
  <si>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</si>
  <si>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</si>
  <si>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</si>
  <si>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</si>
  <si>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</si>
  <si>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</si>
  <si>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</si>
  <si>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</si>
  <si>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</si>
  <si>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</si>
  <si>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</si>
  <si>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</si>
  <si>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</si>
  <si>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</si>
  <si>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</si>
  <si>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</si>
  <si>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</si>
  <si>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</si>
  <si>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</si>
  <si>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</si>
  <si>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</si>
  <si>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</si>
  <si>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</si>
  <si>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</si>
  <si>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</si>
  <si>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</si>
  <si>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</si>
  <si>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</si>
  <si>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</si>
  <si>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</si>
  <si>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</si>
  <si>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</si>
  <si>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</si>
  <si>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</si>
  <si>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</si>
  <si>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</si>
  <si>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</si>
  <si>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</si>
  <si>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</si>
  <si>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</si>
  <si>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</si>
  <si>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</si>
  <si>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</si>
  <si>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</si>
  <si>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</si>
  <si>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</si>
  <si>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</si>
  <si>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</si>
  <si>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</si>
  <si>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</si>
  <si>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</si>
  <si>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</si>
  <si>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</si>
  <si>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</si>
  <si>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</si>
  <si>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</si>
  <si>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</si>
  <si>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</si>
  <si>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</si>
  <si>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</si>
  <si>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</si>
  <si>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</si>
  <si>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>rope wala</t>
  </si>
  <si>
    <t>16mm &amp; 16mm</t>
  </si>
  <si>
    <t>20hp openloop</t>
  </si>
  <si>
    <t>srt125,13mm,5rope</t>
  </si>
  <si>
    <t>seg 30,10mm,8rope</t>
  </si>
  <si>
    <t>upto 1200mm</t>
  </si>
  <si>
    <t>20hp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</si>
</sst>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F38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4" t="s">
        <v>116</v>
      </c>
      <c r="L14" s="25"/>
      <c r="M14" s="24" t="s">
        <v>116</v>
      </c>
      <c r="N14" s="26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7" t="s">
        <v>11</v>
      </c>
      <c r="H15" s="27"/>
      <c r="I15" s="27" t="s">
        <v>12</v>
      </c>
      <c r="J15" s="27"/>
      <c r="K15" s="27" t="s">
        <v>13</v>
      </c>
      <c r="L15" s="27"/>
      <c r="M15" s="27" t="s">
        <v>14</v>
      </c>
      <c r="N15" s="27"/>
      <c r="O15" s="27" t="s">
        <v>15</v>
      </c>
      <c r="P15" s="27"/>
      <c r="Q15" s="29" t="s">
        <v>16</v>
      </c>
      <c r="R15" s="29"/>
      <c r="V15" s="9"/>
      <c r="W15" s="27"/>
      <c r="X15" s="27"/>
    </row>
    <row r="16" spans="1:24" x14ac:dyDescent="0.3">
      <c r="A16" s="4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13">
        <f>I19</f>
        <v>150000</v>
      </c>
      <c r="R19" s="13">
        <f>E19*Q19</f>
        <v>150000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121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123</v>
      </c>
      <c r="E23" s="4">
        <v>1</v>
      </c>
      <c r="G23" s="22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8" t="s">
        <v>85</v>
      </c>
      <c r="U23" s="28"/>
      <c r="V23" s="28"/>
      <c r="W23" s="28"/>
      <c r="X23" s="28"/>
    </row>
    <row r="24" spans="1:24" x14ac:dyDescent="0.3">
      <c r="A24" s="4">
        <v>4</v>
      </c>
      <c r="B24" t="s">
        <v>101</v>
      </c>
      <c r="D24" t="s">
        <v>127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28" t="s">
        <v>85</v>
      </c>
      <c r="U24" s="28"/>
      <c r="V24" s="28"/>
      <c r="W24" s="28"/>
      <c r="X24" s="28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26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2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2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15.5*75*(28+2)</f>
        <v>34875</v>
      </c>
      <c r="E34" s="4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126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126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">
      <c r="B52" t="s">
        <v>2</v>
      </c>
      <c r="H52" s="15">
        <f>H51*20%</f>
        <v>197017.15900000001</v>
      </c>
      <c r="J52" s="15">
        <f>J51*20%</f>
        <v>212092.84900000005</v>
      </c>
      <c r="L52" s="15">
        <f>L51*20%</f>
        <v>173871.58900000004</v>
      </c>
      <c r="N52" s="15">
        <f>N51*20%</f>
        <v>205329.58900000004</v>
      </c>
      <c r="P52" s="15">
        <f>P51*20%</f>
        <v>229942.40800000002</v>
      </c>
      <c r="R52" s="15">
        <f>R51*20%</f>
        <v>245543.098</v>
      </c>
    </row>
    <row r="53" spans="1:18" x14ac:dyDescent="0.3">
      <c r="B53" t="s">
        <v>3</v>
      </c>
      <c r="H53" s="15">
        <f>H52+H51</f>
        <v>1182102.9540000001</v>
      </c>
      <c r="J53" s="15">
        <f>J52+J51</f>
        <v>1272557.094</v>
      </c>
      <c r="L53" s="15">
        <f>L52+L51</f>
        <v>1043229.5340000001</v>
      </c>
      <c r="N53" s="15">
        <f>N52+N51</f>
        <v>1231977.534</v>
      </c>
      <c r="P53" s="15">
        <f>P52+P51</f>
        <v>1379654.4480000001</v>
      </c>
      <c r="R53" s="14">
        <f>R52+R51</f>
        <v>1473258.588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2026-05-28T18:52:55Z</dcterms:modified>
</cp:coreProperties>
</file>