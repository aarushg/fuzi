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a Tend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563C1"/>
      <sz val="9"/>
      <u val="single"/>
    </font>
    <font>
      <name val="Arial"/>
      <sz val="9"/>
    </font>
    <font>
      <name val="Arial"/>
      <b val="1"/>
      <sz val="9"/>
    </font>
    <font>
      <name val="Arial"/>
      <b val="1"/>
      <color rgb="001F3864"/>
      <sz val="14"/>
    </font>
    <font>
      <name val="Arial"/>
      <b val="1"/>
    </font>
    <font>
      <name val="Arial"/>
      <i val="1"/>
      <color rgb="00888888"/>
      <sz val="9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DBEAFE"/>
      </patternFill>
    </fill>
    <fill>
      <patternFill patternType="solid">
        <fgColor rgb="00FCE7F3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nadatenders.com/tender/modernization-elevators-2-and-3-chsld-r-sidence-la-piet-87bfb31.php" TargetMode="External" Id="rId1"/><Relationship Type="http://schemas.openxmlformats.org/officeDocument/2006/relationships/hyperlink" Target="https://www.canadatenders.com/tender/elevator-maintenance-and-service-87bc3f1.php" TargetMode="External" Id="rId2"/><Relationship Type="http://schemas.openxmlformats.org/officeDocument/2006/relationships/hyperlink" Target="https://www.canadatenders.com/tender/contractor-required-elevator-modernization-project-city-housing-hamilton-chh-residential-buildin-87b1de1.php" TargetMode="External" Id="rId3"/><Relationship Type="http://schemas.openxmlformats.org/officeDocument/2006/relationships/hyperlink" Target="https://www.canadatenders.com/tender/elevators-maintenance-contract-87afe96.php" TargetMode="External" Id="rId4"/><Relationship Type="http://schemas.openxmlformats.org/officeDocument/2006/relationships/hyperlink" Target="https://www.canadatenders.com/tender/replacement-and-maintenance-passenger-elevator-911-rue-jean-talon-est-montreal-87ace53.php" TargetMode="External" Id="rId5"/><Relationship Type="http://schemas.openxmlformats.org/officeDocument/2006/relationships/hyperlink" Target="https://www.canadatenders.com/tender/vpcc-elevator-modernization-87ac38a.php" TargetMode="External" Id="rId6"/><Relationship Type="http://schemas.openxmlformats.org/officeDocument/2006/relationships/hyperlink" Target="https://www.canadatenders.com/tender/modernization-elevators-1-and-2-hull-hospital-879e80b.php" TargetMode="External" Id="rId7"/><Relationship Type="http://schemas.openxmlformats.org/officeDocument/2006/relationships/hyperlink" Target="https://www.canadatenders.com/tender/elevator-modernization-various-locations-within-region-peel-project-25206-87961c2.php" TargetMode="External" Id="rId8"/><Relationship Type="http://schemas.openxmlformats.org/officeDocument/2006/relationships/hyperlink" Target="https://www.canadatenders.com/tender/consultant-passenger-elevator-modernization-study-878751e.php" TargetMode="External" Id="rId9"/><Relationship Type="http://schemas.openxmlformats.org/officeDocument/2006/relationships/hyperlink" Target="https://www.canadatenders.com/keywords/elevator-tenders/" TargetMode="External" Id="rId10"/><Relationship Type="http://schemas.openxmlformats.org/officeDocument/2006/relationships/hyperlink" Target="https://www.canadatenders.com/tender/vpcc-elevator-modernization-87774ee.php" TargetMode="External" Id="rId11"/><Relationship Type="http://schemas.openxmlformats.org/officeDocument/2006/relationships/hyperlink" Target="https://www.canadatenders.com/tender/elevators-maintenance-contract-8777513.php" TargetMode="External" Id="rId12"/><Relationship Type="http://schemas.openxmlformats.org/officeDocument/2006/relationships/hyperlink" Target="https://www.canadatenders.com/tender/lansdowne-ps-elevator-addition-875bf2a.php" TargetMode="External" Id="rId13"/><Relationship Type="http://schemas.openxmlformats.org/officeDocument/2006/relationships/hyperlink" Target="https://www.canadatenders.com/tender/stf-addition-elevator-and-repair-various-sectors-875b022.php" TargetMode="External" Id="rId14"/><Relationship Type="http://schemas.openxmlformats.org/officeDocument/2006/relationships/hyperlink" Target="https://www.canadatenders.com/tender/elevator-repair-and-inspections-875531c.php" TargetMode="External" Id="rId15"/><Relationship Type="http://schemas.openxmlformats.org/officeDocument/2006/relationships/hyperlink" Target="https://www.canadatenders.com/tender/elevator-maintenance-services-iqaluit-hq-iqaluit-nu-8748289.php" TargetMode="External" Id="rId16"/><Relationship Type="http://schemas.openxmlformats.org/officeDocument/2006/relationships/hyperlink" Target="https://www.canadatenders.com/tender/provision-elevator-modernization-services-8745402.php" TargetMode="External" Id="rId17"/><Relationship Type="http://schemas.openxmlformats.org/officeDocument/2006/relationships/hyperlink" Target="https://www.tenderspedia.com/keyword/elevator-modernization-service-tenders/" TargetMode="External" Id="rId18"/><Relationship Type="http://schemas.openxmlformats.org/officeDocument/2006/relationships/hyperlink" Target="https://calendar.bidsandtenders.ca/" TargetMode="External" Id="rId19"/><Relationship Type="http://schemas.openxmlformats.org/officeDocument/2006/relationships/hyperlink" Target="https://calendar.bidsandtenders.ca/" TargetMode="External" Id="rId20"/><Relationship Type="http://schemas.openxmlformats.org/officeDocument/2006/relationships/hyperlink" Target="https://www.canadatenders.com/keywords/elevator-tenders/" TargetMode="External" Id="rId21"/><Relationship Type="http://schemas.openxmlformats.org/officeDocument/2006/relationships/hyperlink" Target="https://www.canadatenders.com/keywords/elevator-tenders/" TargetMode="External" Id="rId22"/><Relationship Type="http://schemas.openxmlformats.org/officeDocument/2006/relationships/hyperlink" Target="https://www.canadatenders.com/tender/request-tender-153-elevator-and-escalator-preventive-maintenance-services-8745204.php" TargetMode="External" Id="rId23"/><Relationship Type="http://schemas.openxmlformats.org/officeDocument/2006/relationships/hyperlink" Target="https://www.canadatenders.com/tender/rft-cecil-b-stirling-elementary-school-accessibility-project-8774fe0.php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11" customWidth="1" min="3" max="3"/>
    <col width="16" customWidth="1" min="4" max="4"/>
    <col width="18" customWidth="1" min="5" max="5"/>
    <col width="18" customWidth="1" min="6" max="6"/>
    <col width="13" customWidth="1" min="7" max="7"/>
    <col width="18" customWidth="1" min="8" max="8"/>
    <col width="13" customWidth="1" min="9" max="9"/>
  </cols>
  <sheetData>
    <row r="1" ht="30" customHeight="1">
      <c r="A1" s="1" t="inlineStr">
        <is>
          <t>#</t>
        </is>
      </c>
      <c r="B1" s="1" t="inlineStr">
        <is>
          <t>Tender Title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Province/Region</t>
        </is>
      </c>
      <c r="F1" s="1" t="inlineStr">
        <is>
          <t>CAT Ref No.</t>
        </is>
      </c>
      <c r="G1" s="1" t="inlineStr">
        <is>
          <t>Deadline</t>
        </is>
      </c>
      <c r="H1" s="1" t="inlineStr">
        <is>
          <t>Portal</t>
        </is>
      </c>
      <c r="I1" s="1" t="inlineStr">
        <is>
          <t>Link</t>
        </is>
      </c>
    </row>
    <row r="2">
      <c r="A2" s="2" t="n">
        <v>1</v>
      </c>
      <c r="B2" s="3" t="inlineStr">
        <is>
          <t>Modernization of Elevators #2 and #3 – CHSLD Résidence La Pieta</t>
        </is>
      </c>
      <c r="C2" s="4" t="inlineStr">
        <is>
          <t>Elevator</t>
        </is>
      </c>
      <c r="D2" s="2" t="inlineStr">
        <is>
          <t>Modernization</t>
        </is>
      </c>
      <c r="E2" s="2" t="inlineStr">
        <is>
          <t>Quebec</t>
        </is>
      </c>
      <c r="F2" s="2" t="inlineStr">
        <is>
          <t>142342961</t>
        </is>
      </c>
      <c r="G2" s="2" t="inlineStr">
        <is>
          <t>25 Jun 2026</t>
        </is>
      </c>
      <c r="H2" s="2" t="inlineStr">
        <is>
          <t>SEAO / CanadaTenders</t>
        </is>
      </c>
      <c r="I2" s="5" t="inlineStr">
        <is>
          <t>View Tender</t>
        </is>
      </c>
    </row>
    <row r="3">
      <c r="A3" s="6" t="n">
        <v>2</v>
      </c>
      <c r="B3" s="7" t="inlineStr">
        <is>
          <t>Elevator Maintenance and Service</t>
        </is>
      </c>
      <c r="C3" s="4" t="inlineStr">
        <is>
          <t>Elevator</t>
        </is>
      </c>
      <c r="D3" s="6" t="inlineStr">
        <is>
          <t>Maintenance</t>
        </is>
      </c>
      <c r="E3" s="6" t="inlineStr">
        <is>
          <t>Canada (Fed)</t>
        </is>
      </c>
      <c r="F3" s="6" t="inlineStr">
        <is>
          <t>142328817</t>
        </is>
      </c>
      <c r="G3" s="6" t="inlineStr">
        <is>
          <t>19 Jun 2026</t>
        </is>
      </c>
      <c r="H3" s="6" t="inlineStr">
        <is>
          <t>CanadaBuys</t>
        </is>
      </c>
      <c r="I3" s="8" t="inlineStr">
        <is>
          <t>View Tender</t>
        </is>
      </c>
    </row>
    <row r="4">
      <c r="A4" s="2" t="n">
        <v>3</v>
      </c>
      <c r="B4" s="3" t="inlineStr">
        <is>
          <t>Contractor for Elevator Modernization – City Housing Hamilton (CHH)</t>
        </is>
      </c>
      <c r="C4" s="4" t="inlineStr">
        <is>
          <t>Elevator</t>
        </is>
      </c>
      <c r="D4" s="2" t="inlineStr">
        <is>
          <t>Modernization</t>
        </is>
      </c>
      <c r="E4" s="2" t="inlineStr">
        <is>
          <t>Ontario</t>
        </is>
      </c>
      <c r="F4" s="2" t="inlineStr">
        <is>
          <t>142286305</t>
        </is>
      </c>
      <c r="G4" s="2" t="inlineStr">
        <is>
          <t>01 Jun 2026</t>
        </is>
      </c>
      <c r="H4" s="2" t="inlineStr">
        <is>
          <t>BidsAndTenders</t>
        </is>
      </c>
      <c r="I4" s="5" t="inlineStr">
        <is>
          <t>View Tender</t>
        </is>
      </c>
    </row>
    <row r="5">
      <c r="A5" s="6" t="n">
        <v>4</v>
      </c>
      <c r="B5" s="7" t="inlineStr">
        <is>
          <t>Elevators Maintenance Contract</t>
        </is>
      </c>
      <c r="C5" s="4" t="inlineStr">
        <is>
          <t>Elevator</t>
        </is>
      </c>
      <c r="D5" s="6" t="inlineStr">
        <is>
          <t>Maintenance</t>
        </is>
      </c>
      <c r="E5" s="6" t="inlineStr">
        <is>
          <t>Canada</t>
        </is>
      </c>
      <c r="F5" s="6" t="inlineStr">
        <is>
          <t>142278294</t>
        </is>
      </c>
      <c r="G5" s="6" t="inlineStr">
        <is>
          <t>09 Jun 2026</t>
        </is>
      </c>
      <c r="H5" s="6" t="inlineStr">
        <is>
          <t>CanadaTenders</t>
        </is>
      </c>
      <c r="I5" s="8" t="inlineStr">
        <is>
          <t>View Tender</t>
        </is>
      </c>
    </row>
    <row r="6">
      <c r="A6" s="2" t="n">
        <v>5</v>
      </c>
      <c r="B6" s="3" t="inlineStr">
        <is>
          <t>Replacement &amp; Maintenance – Passenger Elevator, 911 Rue Jean Talon Est</t>
        </is>
      </c>
      <c r="C6" s="4" t="inlineStr">
        <is>
          <t>Elevator</t>
        </is>
      </c>
      <c r="D6" s="2" t="inlineStr">
        <is>
          <t>Supply &amp; Install</t>
        </is>
      </c>
      <c r="E6" s="2" t="inlineStr">
        <is>
          <t>Quebec (MTL)</t>
        </is>
      </c>
      <c r="F6" s="2" t="inlineStr">
        <is>
          <t>142265939</t>
        </is>
      </c>
      <c r="G6" s="2" t="inlineStr">
        <is>
          <t>17 Jun 2026</t>
        </is>
      </c>
      <c r="H6" s="2" t="inlineStr">
        <is>
          <t>SEAO</t>
        </is>
      </c>
      <c r="I6" s="5" t="inlineStr">
        <is>
          <t>View Tender</t>
        </is>
      </c>
    </row>
    <row r="7">
      <c r="A7" s="6" t="n">
        <v>6</v>
      </c>
      <c r="B7" s="7" t="inlineStr">
        <is>
          <t>VPCC Elevator Modernization</t>
        </is>
      </c>
      <c r="C7" s="4" t="inlineStr">
        <is>
          <t>Elevator</t>
        </is>
      </c>
      <c r="D7" s="6" t="inlineStr">
        <is>
          <t>Modernization</t>
        </is>
      </c>
      <c r="E7" s="6" t="inlineStr">
        <is>
          <t>BC</t>
        </is>
      </c>
      <c r="F7" s="6" t="inlineStr">
        <is>
          <t>142263178</t>
        </is>
      </c>
      <c r="G7" s="6" t="inlineStr">
        <is>
          <t>11 Jun 2026</t>
        </is>
      </c>
      <c r="H7" s="6" t="inlineStr">
        <is>
          <t>BidsAndTenders</t>
        </is>
      </c>
      <c r="I7" s="8" t="inlineStr">
        <is>
          <t>View Tender</t>
        </is>
      </c>
    </row>
    <row r="8">
      <c r="A8" s="2" t="n">
        <v>7</v>
      </c>
      <c r="B8" s="3" t="inlineStr">
        <is>
          <t>Modernization of Elevators #1 and #2 – Hull Hospital</t>
        </is>
      </c>
      <c r="C8" s="4" t="inlineStr">
        <is>
          <t>Elevator</t>
        </is>
      </c>
      <c r="D8" s="2" t="inlineStr">
        <is>
          <t>Modernization</t>
        </is>
      </c>
      <c r="E8" s="2" t="inlineStr">
        <is>
          <t>Quebec (Gatineau)</t>
        </is>
      </c>
      <c r="F8" s="2" t="inlineStr">
        <is>
          <t>142206987</t>
        </is>
      </c>
      <c r="G8" s="2" t="inlineStr">
        <is>
          <t>25 Jun 2026</t>
        </is>
      </c>
      <c r="H8" s="2" t="inlineStr">
        <is>
          <t>SEAO</t>
        </is>
      </c>
      <c r="I8" s="5" t="inlineStr">
        <is>
          <t>View Tender</t>
        </is>
      </c>
    </row>
    <row r="9">
      <c r="A9" s="6" t="n">
        <v>8</v>
      </c>
      <c r="B9" s="7" t="inlineStr">
        <is>
          <t>Elevator Modernization – Various Locations, Region of Peel (Project 25206)</t>
        </is>
      </c>
      <c r="C9" s="4" t="inlineStr">
        <is>
          <t>Elevator</t>
        </is>
      </c>
      <c r="D9" s="6" t="inlineStr">
        <is>
          <t>Modernization</t>
        </is>
      </c>
      <c r="E9" s="6" t="inlineStr">
        <is>
          <t>Ontario</t>
        </is>
      </c>
      <c r="F9" s="6" t="inlineStr">
        <is>
          <t>142172610</t>
        </is>
      </c>
      <c r="G9" s="6" t="inlineStr">
        <is>
          <t>22 Jun 2026</t>
        </is>
      </c>
      <c r="H9" s="6" t="inlineStr">
        <is>
          <t>BidsAndTenders</t>
        </is>
      </c>
      <c r="I9" s="8" t="inlineStr">
        <is>
          <t>View Tender</t>
        </is>
      </c>
    </row>
    <row r="10">
      <c r="A10" s="2" t="n">
        <v>9</v>
      </c>
      <c r="B10" s="3" t="inlineStr">
        <is>
          <t>Consultant – Passenger Elevator Modernization Study</t>
        </is>
      </c>
      <c r="C10" s="4" t="inlineStr">
        <is>
          <t>Elevator</t>
        </is>
      </c>
      <c r="D10" s="2" t="inlineStr">
        <is>
          <t>Consulting</t>
        </is>
      </c>
      <c r="E10" s="2" t="inlineStr">
        <is>
          <t>Canada</t>
        </is>
      </c>
      <c r="F10" s="2" t="inlineStr">
        <is>
          <t>142112030</t>
        </is>
      </c>
      <c r="G10" s="2" t="inlineStr">
        <is>
          <t>09 Jun 2026</t>
        </is>
      </c>
      <c r="H10" s="2" t="inlineStr">
        <is>
          <t>CanadaTenders</t>
        </is>
      </c>
      <c r="I10" s="5" t="inlineStr">
        <is>
          <t>View Tender</t>
        </is>
      </c>
    </row>
    <row r="11">
      <c r="A11" s="6" t="n">
        <v>10</v>
      </c>
      <c r="B11" s="7" t="inlineStr">
        <is>
          <t>PHARA – Engineering Services for Elevator Modernization</t>
        </is>
      </c>
      <c r="C11" s="4" t="inlineStr">
        <is>
          <t>Elevator</t>
        </is>
      </c>
      <c r="D11" s="6" t="inlineStr">
        <is>
          <t>Engineering</t>
        </is>
      </c>
      <c r="E11" s="6" t="inlineStr">
        <is>
          <t>Canada</t>
        </is>
      </c>
      <c r="F11" s="6" t="inlineStr">
        <is>
          <t>140983320</t>
        </is>
      </c>
      <c r="G11" s="6" t="inlineStr">
        <is>
          <t>05 Jun 2026</t>
        </is>
      </c>
      <c r="H11" s="6" t="inlineStr">
        <is>
          <t>CanadaBuys</t>
        </is>
      </c>
      <c r="I11" s="8" t="inlineStr">
        <is>
          <t>View Tender</t>
        </is>
      </c>
    </row>
    <row r="12">
      <c r="A12" s="2" t="n">
        <v>11</v>
      </c>
      <c r="B12" s="3" t="inlineStr">
        <is>
          <t>VPCC Elevator Modernization (Second Listing)</t>
        </is>
      </c>
      <c r="C12" s="4" t="inlineStr">
        <is>
          <t>Elevator</t>
        </is>
      </c>
      <c r="D12" s="2" t="inlineStr">
        <is>
          <t>Modernization</t>
        </is>
      </c>
      <c r="E12" s="2" t="inlineStr">
        <is>
          <t>BC</t>
        </is>
      </c>
      <c r="F12" s="2" t="inlineStr">
        <is>
          <t>140972589</t>
        </is>
      </c>
      <c r="G12" s="2" t="inlineStr">
        <is>
          <t>11 May 2026</t>
        </is>
      </c>
      <c r="H12" s="2" t="inlineStr">
        <is>
          <t>BidsAndTenders</t>
        </is>
      </c>
      <c r="I12" s="5" t="inlineStr">
        <is>
          <t>View Tender</t>
        </is>
      </c>
    </row>
    <row r="13">
      <c r="A13" s="6" t="n">
        <v>12</v>
      </c>
      <c r="B13" s="7" t="inlineStr">
        <is>
          <t>Elevators Maintenance Contract (Second Listing)</t>
        </is>
      </c>
      <c r="C13" s="4" t="inlineStr">
        <is>
          <t>Elevator</t>
        </is>
      </c>
      <c r="D13" s="6" t="inlineStr">
        <is>
          <t>Maintenance</t>
        </is>
      </c>
      <c r="E13" s="6" t="inlineStr">
        <is>
          <t>Canada</t>
        </is>
      </c>
      <c r="F13" s="6" t="inlineStr">
        <is>
          <t>142046483</t>
        </is>
      </c>
      <c r="G13" s="6" t="inlineStr">
        <is>
          <t>09 Jun 2026</t>
        </is>
      </c>
      <c r="H13" s="6" t="inlineStr">
        <is>
          <t>CanadaTenders</t>
        </is>
      </c>
      <c r="I13" s="8" t="inlineStr">
        <is>
          <t>View Tender</t>
        </is>
      </c>
    </row>
    <row r="14">
      <c r="A14" s="2" t="n">
        <v>13</v>
      </c>
      <c r="B14" s="3" t="inlineStr">
        <is>
          <t>Lansdowne PS Elevator Addition</t>
        </is>
      </c>
      <c r="C14" s="4" t="inlineStr">
        <is>
          <t>Elevator</t>
        </is>
      </c>
      <c r="D14" s="2" t="inlineStr">
        <is>
          <t>New Install</t>
        </is>
      </c>
      <c r="E14" s="2" t="inlineStr">
        <is>
          <t>Ontario</t>
        </is>
      </c>
      <c r="F14" s="2" t="inlineStr">
        <is>
          <t>141934378</t>
        </is>
      </c>
      <c r="G14" s="2" t="inlineStr">
        <is>
          <t>05 Jun 2026</t>
        </is>
      </c>
      <c r="H14" s="2" t="inlineStr">
        <is>
          <t>BidsAndTenders</t>
        </is>
      </c>
      <c r="I14" s="5" t="inlineStr">
        <is>
          <t>View Tender</t>
        </is>
      </c>
    </row>
    <row r="15">
      <c r="A15" s="6" t="n">
        <v>14</v>
      </c>
      <c r="B15" s="7" t="inlineStr">
        <is>
          <t>STF – Addition of Elevator and Repair of Various Sectors</t>
        </is>
      </c>
      <c r="C15" s="4" t="inlineStr">
        <is>
          <t>Elevator</t>
        </is>
      </c>
      <c r="D15" s="6" t="inlineStr">
        <is>
          <t>Supply &amp; Install</t>
        </is>
      </c>
      <c r="E15" s="6" t="inlineStr">
        <is>
          <t>Quebec</t>
        </is>
      </c>
      <c r="F15" s="6" t="inlineStr">
        <is>
          <t>141930530</t>
        </is>
      </c>
      <c r="G15" s="6" t="inlineStr">
        <is>
          <t>02 Jun 2026</t>
        </is>
      </c>
      <c r="H15" s="6" t="inlineStr">
        <is>
          <t>SEAO</t>
        </is>
      </c>
      <c r="I15" s="8" t="inlineStr">
        <is>
          <t>View Tender</t>
        </is>
      </c>
    </row>
    <row r="16">
      <c r="A16" s="2" t="n">
        <v>15</v>
      </c>
      <c r="B16" s="3" t="inlineStr">
        <is>
          <t>Elevator Repair and Inspections</t>
        </is>
      </c>
      <c r="C16" s="4" t="inlineStr">
        <is>
          <t>Elevator</t>
        </is>
      </c>
      <c r="D16" s="2" t="inlineStr">
        <is>
          <t>Maintenance</t>
        </is>
      </c>
      <c r="E16" s="2" t="inlineStr">
        <is>
          <t>Canada</t>
        </is>
      </c>
      <c r="F16" s="2" t="inlineStr">
        <is>
          <t>141906716</t>
        </is>
      </c>
      <c r="G16" s="2" t="inlineStr">
        <is>
          <t>10 Jun 2026</t>
        </is>
      </c>
      <c r="H16" s="2" t="inlineStr">
        <is>
          <t>CanadaTenders</t>
        </is>
      </c>
      <c r="I16" s="5" t="inlineStr">
        <is>
          <t>View Tender</t>
        </is>
      </c>
    </row>
    <row r="17">
      <c r="A17" s="6" t="n">
        <v>16</v>
      </c>
      <c r="B17" s="7" t="inlineStr">
        <is>
          <t>Elevator Maintenance Services – Iqaluit HQ, Iqaluit NU</t>
        </is>
      </c>
      <c r="C17" s="4" t="inlineStr">
        <is>
          <t>Elevator</t>
        </is>
      </c>
      <c r="D17" s="6" t="inlineStr">
        <is>
          <t>Maintenance</t>
        </is>
      </c>
      <c r="E17" s="6" t="inlineStr">
        <is>
          <t>Nunavut</t>
        </is>
      </c>
      <c r="F17" s="6" t="inlineStr">
        <is>
          <t>141853321</t>
        </is>
      </c>
      <c r="G17" s="6" t="inlineStr">
        <is>
          <t>15 Jun 2026</t>
        </is>
      </c>
      <c r="H17" s="6" t="inlineStr">
        <is>
          <t>CanadaBuys</t>
        </is>
      </c>
      <c r="I17" s="8" t="inlineStr">
        <is>
          <t>View Tender</t>
        </is>
      </c>
    </row>
    <row r="18">
      <c r="A18" s="2" t="n">
        <v>17</v>
      </c>
      <c r="B18" s="3" t="inlineStr">
        <is>
          <t>Provision of Elevator Modernization Services</t>
        </is>
      </c>
      <c r="C18" s="4" t="inlineStr">
        <is>
          <t>Elevator</t>
        </is>
      </c>
      <c r="D18" s="2" t="inlineStr">
        <is>
          <t>Modernization</t>
        </is>
      </c>
      <c r="E18" s="2" t="inlineStr">
        <is>
          <t>Canada</t>
        </is>
      </c>
      <c r="F18" s="2" t="inlineStr">
        <is>
          <t>141841410</t>
        </is>
      </c>
      <c r="G18" s="2" t="inlineStr">
        <is>
          <t>18 Jun 2026</t>
        </is>
      </c>
      <c r="H18" s="2" t="inlineStr">
        <is>
          <t>CanadaTenders</t>
        </is>
      </c>
      <c r="I18" s="5" t="inlineStr">
        <is>
          <t>View Tender</t>
        </is>
      </c>
    </row>
    <row r="19">
      <c r="A19" s="6" t="n">
        <v>18</v>
      </c>
      <c r="B19" s="7" t="inlineStr">
        <is>
          <t>Chau Luen Tower – Elevator Modernization (BC Housing ITT 1070-2627-064)</t>
        </is>
      </c>
      <c r="C19" s="4" t="inlineStr">
        <is>
          <t>Elevator</t>
        </is>
      </c>
      <c r="D19" s="6" t="inlineStr">
        <is>
          <t>Modernization</t>
        </is>
      </c>
      <c r="E19" s="6" t="inlineStr">
        <is>
          <t>BC (Vancouver)</t>
        </is>
      </c>
      <c r="F19" s="6" t="inlineStr">
        <is>
          <t>ITT-1070-2627-064</t>
        </is>
      </c>
      <c r="G19" s="6" t="inlineStr">
        <is>
          <t>04 Jun 2026</t>
        </is>
      </c>
      <c r="H19" s="6" t="inlineStr">
        <is>
          <t>BC Housing</t>
        </is>
      </c>
      <c r="I19" s="8" t="inlineStr">
        <is>
          <t>View Tender</t>
        </is>
      </c>
    </row>
    <row r="20">
      <c r="A20" s="2" t="n">
        <v>19</v>
      </c>
      <c r="B20" s="3" t="inlineStr">
        <is>
          <t>Temagami Public School – Elevator Addition</t>
        </is>
      </c>
      <c r="C20" s="4" t="inlineStr">
        <is>
          <t>Elevator</t>
        </is>
      </c>
      <c r="D20" s="2" t="inlineStr">
        <is>
          <t>New Install</t>
        </is>
      </c>
      <c r="E20" s="2" t="inlineStr">
        <is>
          <t>Ontario</t>
        </is>
      </c>
      <c r="F20" s="2" t="inlineStr">
        <is>
          <t>32673-026</t>
        </is>
      </c>
      <c r="G20" s="2" t="inlineStr">
        <is>
          <t>TBD</t>
        </is>
      </c>
      <c r="H20" s="2" t="inlineStr">
        <is>
          <t>BidsAndTenders</t>
        </is>
      </c>
      <c r="I20" s="5" t="inlineStr">
        <is>
          <t>View Tender</t>
        </is>
      </c>
    </row>
    <row r="21">
      <c r="A21" s="6" t="n">
        <v>20</v>
      </c>
      <c r="B21" s="7" t="inlineStr">
        <is>
          <t>DAL2025-20114565 – Elevator Renewal, Cumming Hall (Dalhousie University)</t>
        </is>
      </c>
      <c r="C21" s="4" t="inlineStr">
        <is>
          <t>Elevator</t>
        </is>
      </c>
      <c r="D21" s="6" t="inlineStr">
        <is>
          <t>Renewal</t>
        </is>
      </c>
      <c r="E21" s="6" t="inlineStr">
        <is>
          <t>Nova Scotia</t>
        </is>
      </c>
      <c r="F21" s="6" t="inlineStr">
        <is>
          <t>DAL2025-20114565</t>
        </is>
      </c>
      <c r="G21" s="6" t="inlineStr">
        <is>
          <t>TBD</t>
        </is>
      </c>
      <c r="H21" s="6" t="inlineStr">
        <is>
          <t>Dalhousie / BidsAndTenders</t>
        </is>
      </c>
      <c r="I21" s="8" t="inlineStr">
        <is>
          <t>View Tender</t>
        </is>
      </c>
    </row>
    <row r="22">
      <c r="A22" s="2" t="n">
        <v>21</v>
      </c>
      <c r="B22" s="3" t="inlineStr">
        <is>
          <t>RFP26-23JG – Security, Fire Alarm, and Elevator Monitoring</t>
        </is>
      </c>
      <c r="C22" s="4" t="inlineStr">
        <is>
          <t>Elevator</t>
        </is>
      </c>
      <c r="D22" s="2" t="inlineStr">
        <is>
          <t>Monitoring</t>
        </is>
      </c>
      <c r="E22" s="2" t="inlineStr">
        <is>
          <t>Canada</t>
        </is>
      </c>
      <c r="F22" s="2" t="inlineStr">
        <is>
          <t>140961233</t>
        </is>
      </c>
      <c r="G22" s="2" t="inlineStr">
        <is>
          <t>05 Jun 2026</t>
        </is>
      </c>
      <c r="H22" s="2" t="inlineStr">
        <is>
          <t>CanadaTenders</t>
        </is>
      </c>
      <c r="I22" s="5" t="inlineStr">
        <is>
          <t>View Tender</t>
        </is>
      </c>
    </row>
    <row r="23">
      <c r="A23" s="6" t="n">
        <v>22</v>
      </c>
      <c r="B23" s="7" t="inlineStr">
        <is>
          <t>Prince George Conference and Civic Centre – Elevator Renewal</t>
        </is>
      </c>
      <c r="C23" s="4" t="inlineStr">
        <is>
          <t>Elevator</t>
        </is>
      </c>
      <c r="D23" s="6" t="inlineStr">
        <is>
          <t>Renewal</t>
        </is>
      </c>
      <c r="E23" s="6" t="inlineStr">
        <is>
          <t>BC</t>
        </is>
      </c>
      <c r="F23" s="6" t="inlineStr">
        <is>
          <t>N/A</t>
        </is>
      </c>
      <c r="G23" s="6" t="inlineStr">
        <is>
          <t>TBD</t>
        </is>
      </c>
      <c r="H23" s="6" t="inlineStr">
        <is>
          <t>BidsAndTenders</t>
        </is>
      </c>
      <c r="I23" s="8" t="inlineStr">
        <is>
          <t>View Tender</t>
        </is>
      </c>
    </row>
    <row r="24">
      <c r="A24" s="2" t="n">
        <v>23</v>
      </c>
      <c r="B24" s="3" t="inlineStr">
        <is>
          <t>Request for Tender #153 – Elevator and Escalator Preventive Maintenance Services</t>
        </is>
      </c>
      <c r="C24" s="9" t="inlineStr">
        <is>
          <t>Escalator</t>
        </is>
      </c>
      <c r="D24" s="2" t="inlineStr">
        <is>
          <t>Maintenance</t>
        </is>
      </c>
      <c r="E24" s="2" t="inlineStr">
        <is>
          <t>Canada</t>
        </is>
      </c>
      <c r="F24" s="2" t="inlineStr">
        <is>
          <t>141840900</t>
        </is>
      </c>
      <c r="G24" s="2" t="inlineStr">
        <is>
          <t>18 Jun 2026</t>
        </is>
      </c>
      <c r="H24" s="2" t="inlineStr">
        <is>
          <t>CanadaTenders</t>
        </is>
      </c>
      <c r="I24" s="5" t="inlineStr">
        <is>
          <t>View Tender</t>
        </is>
      </c>
    </row>
    <row r="25">
      <c r="A25" s="6" t="n">
        <v>24</v>
      </c>
      <c r="B25" s="7" t="inlineStr">
        <is>
          <t>RFT Cecil B. Stirling Elementary School Accessibility Project (includes platform lift)</t>
        </is>
      </c>
      <c r="C25" s="10" t="inlineStr">
        <is>
          <t>Lift</t>
        </is>
      </c>
      <c r="D25" s="6" t="inlineStr">
        <is>
          <t>Accessibility</t>
        </is>
      </c>
      <c r="E25" s="6" t="inlineStr">
        <is>
          <t>BC</t>
        </is>
      </c>
      <c r="F25" s="6" t="inlineStr">
        <is>
          <t>142036960</t>
        </is>
      </c>
      <c r="G25" s="6" t="inlineStr">
        <is>
          <t>10 Jun 2026</t>
        </is>
      </c>
      <c r="H25" s="6" t="inlineStr">
        <is>
          <t>BidsAndTenders</t>
        </is>
      </c>
      <c r="I25" s="8" t="inlineStr">
        <is>
          <t>View Tender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1" t="inlineStr">
        <is>
          <t>Canada Elevator / Lift / Escalator Tender Summary</t>
        </is>
      </c>
    </row>
    <row r="3">
      <c r="A3" s="12" t="inlineStr">
        <is>
          <t>Total Tenders Found</t>
        </is>
      </c>
      <c r="B3" s="13">
        <f>COUNTA('Canada Tenders'!B2:B1000)</f>
        <v/>
      </c>
    </row>
    <row r="4">
      <c r="A4" s="12" t="inlineStr">
        <is>
          <t>Elevator</t>
        </is>
      </c>
      <c r="B4" s="13">
        <f>COUNTIF('Canada Tenders'!C2:C1000,"Elevator")</f>
        <v/>
      </c>
    </row>
    <row r="5">
      <c r="A5" s="12" t="inlineStr">
        <is>
          <t>Escalator</t>
        </is>
      </c>
      <c r="B5" s="13">
        <f>COUNTIF('Canada Tenders'!C2:C1000,"Escalator")</f>
        <v/>
      </c>
    </row>
    <row r="6">
      <c r="A6" s="12" t="inlineStr">
        <is>
          <t>Lift / Accessibility</t>
        </is>
      </c>
      <c r="B6" s="13">
        <f>COUNTIF('Canada Tenders'!C2:C1000,"Lift")</f>
        <v/>
      </c>
    </row>
    <row r="8">
      <c r="A8" s="14" t="inlineStr">
        <is>
          <t>Sources Covered</t>
        </is>
      </c>
    </row>
    <row r="9">
      <c r="A9" t="inlineStr">
        <is>
          <t>CanadaBuys.canada.ca (Federal)</t>
        </is>
      </c>
    </row>
    <row r="10">
      <c r="A10" t="inlineStr">
        <is>
          <t>SÉAO – Quebec Portal</t>
        </is>
      </c>
    </row>
    <row r="11">
      <c r="A11" t="inlineStr">
        <is>
          <t>BidsAndTenders.ca</t>
        </is>
      </c>
    </row>
    <row r="12">
      <c r="A12" t="inlineStr">
        <is>
          <t>MERX.com</t>
        </is>
      </c>
    </row>
    <row r="13">
      <c r="A13" t="inlineStr">
        <is>
          <t>CanadaTenders.com (aggregator)</t>
        </is>
      </c>
    </row>
    <row r="14">
      <c r="A14" t="inlineStr">
        <is>
          <t>BC Housing Procurement</t>
        </is>
      </c>
    </row>
    <row r="15">
      <c r="A15" t="inlineStr">
        <is>
          <t>Dalhousie University Procurement</t>
        </is>
      </c>
    </row>
    <row r="16">
      <c r="A16" s="15" t="inlineStr">
        <is>
          <t>Data scraped: May 31,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2026-05-31T17:58:00Z</dcterms:created>
  <dcterms:modified xmlns:dcterms="http://purl.org/dc/terms/" xmlns:xsi="http://www.w3.org/2001/XMLSchema-instance" xsi:type="dcterms:W3CDTF">2026-05-31T17:58:00Z</dcterms:modified>
</cp:coreProperties>
</file>