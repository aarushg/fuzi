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FADD8FDF-0C11-46E1-913C-4FB26A32D4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4" l="1"/>
  <c r="G37" i="4"/>
  <c r="G36" i="4"/>
  <c r="G35" i="4"/>
  <c r="G34" i="4"/>
  <c r="G33" i="4"/>
  <c r="G31" i="4"/>
  <c r="G30" i="4"/>
  <c r="G25" i="4"/>
  <c r="G23" i="4"/>
  <c r="G22" i="4"/>
  <c r="G18" i="4"/>
  <c r="G17" i="4"/>
  <c r="G16" i="4"/>
  <c r="E45" i="4" l="1"/>
  <c r="H43" i="4"/>
  <c r="D42" i="4"/>
  <c r="C41" i="4"/>
  <c r="H40" i="4"/>
  <c r="E39" i="4"/>
  <c r="H38" i="4"/>
  <c r="H36" i="4"/>
  <c r="H33" i="4"/>
  <c r="D31" i="4"/>
  <c r="H29" i="4"/>
  <c r="H25" i="4"/>
  <c r="H23" i="4"/>
  <c r="H22" i="4"/>
  <c r="H19" i="4"/>
  <c r="H18" i="4"/>
  <c r="H17" i="4"/>
  <c r="H16" i="4"/>
  <c r="R14" i="4"/>
  <c r="J10" i="4"/>
  <c r="J9" i="4"/>
  <c r="J8" i="4"/>
  <c r="J7" i="4"/>
  <c r="J6" i="4"/>
  <c r="J5" i="4"/>
  <c r="J4" i="4"/>
  <c r="J3" i="4"/>
  <c r="J2" i="4"/>
  <c r="G24" i="4" s="1"/>
  <c r="D35" i="4" l="1"/>
  <c r="E16" i="4"/>
  <c r="H39" i="4"/>
  <c r="H45" i="4"/>
  <c r="H46" i="4"/>
  <c r="H20" i="4"/>
  <c r="H31" i="4"/>
  <c r="H26" i="4"/>
  <c r="H21" i="4"/>
  <c r="D34" i="4"/>
  <c r="H35" i="4"/>
  <c r="H37" i="4"/>
  <c r="H24" i="4"/>
  <c r="E27" i="4"/>
  <c r="H27" i="4" s="1"/>
  <c r="E28" i="4"/>
  <c r="D33" i="4"/>
  <c r="H34" i="4"/>
  <c r="H41" i="4"/>
  <c r="H32" i="4" l="1"/>
  <c r="E30" i="4"/>
  <c r="H42" i="4"/>
  <c r="H28" i="4"/>
  <c r="E17" i="4"/>
  <c r="H30" i="4" l="1"/>
  <c r="H44" i="4" s="1"/>
  <c r="G47" i="4" l="1"/>
  <c r="H47" i="4" s="1"/>
  <c r="H48" i="4" s="1"/>
  <c r="H49" i="4" l="1"/>
  <c r="H50" i="4" s="1"/>
</calcChain>
</file>

<file path=xl/sharedStrings.xml><?xml version="1.0" encoding="utf-8"?>
<sst xmlns="http://schemas.openxmlformats.org/spreadsheetml/2006/main" count="113" uniqueCount="96">
  <si>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</si>
  <si>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</si>
  <si>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</si>
  <si>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</si>
  <si>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</si>
  <si>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</si>
  <si>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</si>
  <si>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</si>
  <si>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</si>
  <si>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</si>
  <si>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</si>
  <si>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</si>
  <si>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</si>
  <si>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</si>
  <si>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</si>
  <si>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</si>
  <si>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</si>
  <si>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</si>
  <si>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</si>
  <si>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</si>
  <si>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</si>
  <si>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</si>
  <si>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</si>
  <si>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</si>
  <si>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</si>
  <si>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</si>
  <si>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pvc</t>
  </si>
  <si>
    <t>&amp; channel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</si>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</sst>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/>
    <xf numFmtId="2" fontId="0" fillId="0" borderId="0" xfId="0" applyNumberFormat="1" applyFill="1"/>
    <xf numFmtId="0" fontId="1" fillId="0" borderId="0" xfId="0" applyFont="1" applyFill="1" applyAlignment="1">
      <alignment horizontal="center"/>
    </xf>
    <xf numFmtId="1" fontId="0" fillId="0" borderId="0" xfId="0" applyNumberFormat="1" applyFill="1"/>
    <xf numFmtId="0" fontId="1" fillId="0" borderId="0" xfId="0" applyFont="1" applyFill="1"/>
    <xf numFmtId="0" fontId="0" fillId="2" borderId="2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0" xfId="0" applyNumberFormat="1" applyFill="1" applyBorder="1"/>
    <xf numFmtId="0" fontId="2" fillId="0" borderId="0" xfId="0" applyFont="1" applyFill="1" applyBorder="1"/>
    <xf numFmtId="0" fontId="1" fillId="0" borderId="0" xfId="0" applyFont="1" applyFill="1" applyBorder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5"/>
  <sheetViews>
    <sheetView tabSelected="1" topLeftCell="A24" zoomScale="81" zoomScaleNormal="110" workbookViewId="0">
      <selection activeCell="E50" sqref="E5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63</v>
      </c>
      <c r="J1" s="2" t="s">
        <v>72</v>
      </c>
      <c r="K1" s="19"/>
      <c r="L1" s="19"/>
      <c r="Q1" s="1" t="s">
        <v>31</v>
      </c>
      <c r="R1" s="1">
        <v>1600</v>
      </c>
      <c r="T1" s="17"/>
      <c r="U1" s="17"/>
      <c r="V1" s="17"/>
    </row>
    <row r="2" spans="1:24" x14ac:dyDescent="0.3">
      <c r="B2" t="s">
        <v>64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K2" s="19"/>
      <c r="L2" s="19"/>
      <c r="Q2" s="1" t="s">
        <v>32</v>
      </c>
      <c r="R2" s="1">
        <v>0</v>
      </c>
      <c r="T2" s="18"/>
      <c r="U2" s="17"/>
      <c r="V2" s="18"/>
    </row>
    <row r="3" spans="1:24" x14ac:dyDescent="0.3">
      <c r="B3" t="s">
        <v>63</v>
      </c>
      <c r="E3" s="3" t="s">
        <v>20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K3" s="19"/>
      <c r="L3" s="19"/>
      <c r="Q3" s="1" t="s">
        <v>33</v>
      </c>
      <c r="R3" s="1">
        <v>4000</v>
      </c>
      <c r="T3" s="18"/>
      <c r="U3" s="17"/>
      <c r="V3" s="18"/>
    </row>
    <row r="4" spans="1:24" x14ac:dyDescent="0.3">
      <c r="B4" t="s">
        <v>65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K4" s="19"/>
      <c r="L4" s="19"/>
      <c r="Q4" s="1" t="s">
        <v>34</v>
      </c>
      <c r="R4" s="1">
        <v>0</v>
      </c>
      <c r="T4" s="18"/>
      <c r="U4" s="17"/>
      <c r="V4" s="18"/>
    </row>
    <row r="5" spans="1:24" x14ac:dyDescent="0.3">
      <c r="B5" t="s">
        <v>66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K5" s="19"/>
      <c r="L5" s="19"/>
      <c r="Q5" s="1" t="s">
        <v>35</v>
      </c>
      <c r="R5" s="1">
        <v>0</v>
      </c>
      <c r="T5" s="18"/>
      <c r="U5" s="17"/>
      <c r="V5" s="18"/>
    </row>
    <row r="6" spans="1:24" x14ac:dyDescent="0.3">
      <c r="B6" t="s">
        <v>67</v>
      </c>
      <c r="E6" s="3" t="s">
        <v>24</v>
      </c>
      <c r="H6" s="2" t="s">
        <v>8</v>
      </c>
      <c r="I6" s="5">
        <v>6</v>
      </c>
      <c r="J6" s="2">
        <f>8900+1500+1550+2450+1850*4+2000</f>
        <v>23800</v>
      </c>
      <c r="K6" s="19"/>
      <c r="L6" s="19"/>
      <c r="Q6" s="1" t="s">
        <v>36</v>
      </c>
      <c r="R6" s="1">
        <v>0</v>
      </c>
      <c r="T6" s="18"/>
      <c r="U6" s="17"/>
      <c r="V6" s="18"/>
    </row>
    <row r="7" spans="1:24" x14ac:dyDescent="0.3">
      <c r="B7" t="s">
        <v>68</v>
      </c>
      <c r="E7" s="3" t="s">
        <v>24</v>
      </c>
      <c r="H7" s="2" t="s">
        <v>16</v>
      </c>
      <c r="I7" s="5">
        <v>7</v>
      </c>
      <c r="J7" s="2">
        <f>9250+1750+1550+2450+1850*5+2000</f>
        <v>26250</v>
      </c>
      <c r="K7" s="19"/>
      <c r="L7" s="19"/>
      <c r="Q7" s="1" t="s">
        <v>37</v>
      </c>
      <c r="R7" s="1">
        <v>0</v>
      </c>
      <c r="T7" s="17"/>
      <c r="U7" s="17"/>
      <c r="V7" s="17"/>
    </row>
    <row r="8" spans="1:24" x14ac:dyDescent="0.3">
      <c r="B8" t="s">
        <v>69</v>
      </c>
      <c r="E8" s="3" t="s">
        <v>25</v>
      </c>
      <c r="H8" s="2" t="s">
        <v>17</v>
      </c>
      <c r="I8" s="5">
        <v>8</v>
      </c>
      <c r="J8" s="2">
        <f>9600+2000+1550+2450+1850*6+2000</f>
        <v>28700</v>
      </c>
      <c r="K8" s="19"/>
      <c r="L8" s="19"/>
      <c r="Q8" s="1" t="s">
        <v>38</v>
      </c>
      <c r="R8" s="1">
        <v>0</v>
      </c>
      <c r="T8" s="3"/>
      <c r="V8" s="3"/>
    </row>
    <row r="9" spans="1:24" x14ac:dyDescent="0.3">
      <c r="B9" t="s">
        <v>70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K9" s="19"/>
      <c r="L9" s="19"/>
      <c r="Q9" s="1" t="s">
        <v>39</v>
      </c>
      <c r="R9" s="1">
        <v>0</v>
      </c>
      <c r="T9" s="6"/>
      <c r="V9" s="3"/>
    </row>
    <row r="10" spans="1:24" x14ac:dyDescent="0.3">
      <c r="B10" t="s">
        <v>71</v>
      </c>
      <c r="D10" t="s">
        <v>20</v>
      </c>
      <c r="E10" s="3" t="s">
        <v>26</v>
      </c>
      <c r="H10" s="2" t="s">
        <v>19</v>
      </c>
      <c r="I10" s="5">
        <v>10</v>
      </c>
      <c r="J10" s="2">
        <f>10300+2500+1550+2450+1850*8+2000</f>
        <v>33600</v>
      </c>
      <c r="K10" s="20"/>
      <c r="L10" s="19"/>
      <c r="Q10" s="1" t="s">
        <v>40</v>
      </c>
      <c r="R10" s="1">
        <v>0</v>
      </c>
      <c r="V10" s="3"/>
    </row>
    <row r="11" spans="1:24" x14ac:dyDescent="0.3">
      <c r="D11" t="s">
        <v>20</v>
      </c>
      <c r="K11" s="20"/>
      <c r="L11" s="19"/>
      <c r="Q11" s="1" t="s">
        <v>41</v>
      </c>
      <c r="R11" s="1">
        <v>0</v>
      </c>
      <c r="V11" s="3"/>
    </row>
    <row r="12" spans="1:24" x14ac:dyDescent="0.3">
      <c r="K12" s="20"/>
      <c r="L12" s="19"/>
      <c r="Q12" s="1" t="s">
        <v>42</v>
      </c>
      <c r="R12" s="1">
        <v>0</v>
      </c>
      <c r="V12" s="3"/>
    </row>
    <row r="13" spans="1:24" x14ac:dyDescent="0.3">
      <c r="K13" s="6"/>
      <c r="Q13" s="1" t="s">
        <v>43</v>
      </c>
      <c r="R13" s="1">
        <v>4800</v>
      </c>
      <c r="V13" s="3"/>
    </row>
    <row r="14" spans="1:24" x14ac:dyDescent="0.3">
      <c r="G14" s="25"/>
      <c r="H14" s="25"/>
      <c r="I14" s="25"/>
      <c r="J14" s="25"/>
      <c r="K14" s="26"/>
      <c r="L14" s="26"/>
      <c r="M14" s="26"/>
      <c r="N14" s="26"/>
      <c r="O14" s="25"/>
      <c r="P14" s="25"/>
      <c r="Q14" s="24" t="s">
        <v>44</v>
      </c>
      <c r="R14" s="1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21" t="s">
        <v>10</v>
      </c>
      <c r="H15" s="21"/>
      <c r="I15" s="27"/>
      <c r="J15" s="27"/>
      <c r="K15" s="27"/>
      <c r="L15" s="27"/>
      <c r="M15" s="27"/>
      <c r="N15" s="27"/>
      <c r="O15" s="27"/>
      <c r="P15" s="27"/>
      <c r="V15" s="8"/>
      <c r="W15" s="15"/>
      <c r="X15" s="15"/>
    </row>
    <row r="16" spans="1:24" x14ac:dyDescent="0.3">
      <c r="A16" s="3">
        <v>1</v>
      </c>
      <c r="B16" t="s">
        <v>73</v>
      </c>
      <c r="C16" t="s">
        <v>90</v>
      </c>
      <c r="D16" t="s">
        <v>29</v>
      </c>
      <c r="E16" s="11">
        <f>(R14/5000)*2</f>
        <v>4.16</v>
      </c>
      <c r="F16" s="11">
        <v>5</v>
      </c>
      <c r="G16" s="19">
        <f>4800+200</f>
        <v>5000</v>
      </c>
      <c r="H16" s="22">
        <f>F16*G16</f>
        <v>25000</v>
      </c>
      <c r="I16" s="25"/>
      <c r="J16" s="28"/>
      <c r="K16" s="25"/>
      <c r="L16" s="28"/>
      <c r="M16" s="25"/>
      <c r="N16" s="28"/>
      <c r="O16" s="25"/>
      <c r="P16" s="28"/>
      <c r="Q16" s="19"/>
      <c r="R16" s="19"/>
      <c r="V16" s="3"/>
    </row>
    <row r="17" spans="1:24" x14ac:dyDescent="0.3">
      <c r="A17" s="3"/>
      <c r="B17" t="s">
        <v>45</v>
      </c>
      <c r="C17" t="s">
        <v>46</v>
      </c>
      <c r="D17" t="s">
        <v>47</v>
      </c>
      <c r="E17" s="11" t="e">
        <f>#REF!</f>
        <v>#REF!</v>
      </c>
      <c r="F17" s="4">
        <v>7</v>
      </c>
      <c r="G17" s="19">
        <f>1100+250</f>
        <v>1350</v>
      </c>
      <c r="H17" s="22">
        <f>G17*F17</f>
        <v>9450</v>
      </c>
      <c r="I17" s="25"/>
      <c r="J17" s="25"/>
      <c r="K17" s="25"/>
      <c r="L17" s="25"/>
      <c r="M17" s="25"/>
      <c r="N17" s="25"/>
      <c r="O17" s="29"/>
      <c r="P17" s="28"/>
      <c r="Q17" s="19"/>
      <c r="R17" s="19"/>
      <c r="V17" s="3"/>
    </row>
    <row r="18" spans="1:24" x14ac:dyDescent="0.3">
      <c r="A18" s="3">
        <v>3</v>
      </c>
      <c r="B18" t="s">
        <v>74</v>
      </c>
      <c r="C18" t="s">
        <v>48</v>
      </c>
      <c r="E18" s="3">
        <v>1</v>
      </c>
      <c r="G18" s="19">
        <f>75000+10000</f>
        <v>85000</v>
      </c>
      <c r="H18" s="19">
        <f>E18*G18</f>
        <v>85000</v>
      </c>
      <c r="I18" s="25"/>
      <c r="J18" s="25"/>
      <c r="K18" s="25"/>
      <c r="L18" s="25"/>
      <c r="M18" s="25"/>
      <c r="N18" s="25"/>
      <c r="O18" s="25"/>
      <c r="P18" s="25"/>
      <c r="Q18" s="19"/>
      <c r="R18" s="19"/>
      <c r="V18" s="3"/>
    </row>
    <row r="19" spans="1:24" x14ac:dyDescent="0.3">
      <c r="A19" s="3" t="s">
        <v>20</v>
      </c>
      <c r="B19" t="s">
        <v>75</v>
      </c>
      <c r="E19" s="3">
        <v>1</v>
      </c>
      <c r="G19" s="19">
        <v>4000</v>
      </c>
      <c r="H19" s="19">
        <f>E19*G19</f>
        <v>4000</v>
      </c>
      <c r="I19" s="25"/>
      <c r="J19" s="25"/>
      <c r="K19" s="25"/>
      <c r="L19" s="25"/>
      <c r="M19" s="25"/>
      <c r="N19" s="25"/>
      <c r="O19" s="25"/>
      <c r="P19" s="25"/>
      <c r="Q19" s="19"/>
      <c r="R19" s="19"/>
    </row>
    <row r="20" spans="1:24" x14ac:dyDescent="0.3">
      <c r="A20" s="3"/>
      <c r="B20" t="s">
        <v>59</v>
      </c>
      <c r="E20" s="3">
        <v>1</v>
      </c>
      <c r="G20" s="19">
        <v>2500</v>
      </c>
      <c r="H20" s="19">
        <f>G20*E20</f>
        <v>2500</v>
      </c>
      <c r="I20" s="25"/>
      <c r="J20" s="25"/>
      <c r="K20" s="25"/>
      <c r="L20" s="25"/>
      <c r="M20" s="25"/>
      <c r="N20" s="25"/>
      <c r="O20" s="25"/>
      <c r="P20" s="25"/>
      <c r="Q20" s="19"/>
      <c r="R20" s="19"/>
    </row>
    <row r="21" spans="1:24" x14ac:dyDescent="0.3">
      <c r="A21" s="3"/>
      <c r="B21" t="s">
        <v>92</v>
      </c>
      <c r="E21" s="3">
        <v>1</v>
      </c>
      <c r="G21" s="19">
        <v>6000</v>
      </c>
      <c r="H21" s="19">
        <f>G21*E21</f>
        <v>6000</v>
      </c>
      <c r="I21" s="25"/>
      <c r="J21" s="25"/>
      <c r="K21" s="25"/>
      <c r="L21" s="25"/>
      <c r="M21" s="25"/>
      <c r="N21" s="25"/>
      <c r="O21" s="25"/>
      <c r="P21" s="25"/>
      <c r="Q21" s="19"/>
      <c r="R21" s="19"/>
    </row>
    <row r="22" spans="1:24" x14ac:dyDescent="0.3">
      <c r="A22" s="3">
        <v>4</v>
      </c>
      <c r="B22" t="s">
        <v>76</v>
      </c>
      <c r="D22" t="s">
        <v>51</v>
      </c>
      <c r="E22" s="3">
        <v>1</v>
      </c>
      <c r="G22" s="19">
        <f>55500+1500+6800+4200</f>
        <v>68000</v>
      </c>
      <c r="H22" s="19">
        <f>E22*G22</f>
        <v>68000</v>
      </c>
      <c r="I22" s="25"/>
      <c r="J22" s="25"/>
      <c r="K22" s="25"/>
      <c r="L22" s="25"/>
      <c r="M22" s="25"/>
      <c r="N22" s="25"/>
      <c r="O22" s="25"/>
      <c r="P22" s="25"/>
      <c r="Q22" s="19"/>
      <c r="R22" s="19"/>
      <c r="T22" s="16"/>
      <c r="U22" s="16"/>
      <c r="V22" s="16"/>
      <c r="W22" s="16"/>
      <c r="X22" s="16"/>
    </row>
    <row r="23" spans="1:24" x14ac:dyDescent="0.3">
      <c r="A23" s="3">
        <v>5</v>
      </c>
      <c r="B23" t="s">
        <v>21</v>
      </c>
      <c r="E23" s="3">
        <v>1</v>
      </c>
      <c r="G23" s="19">
        <f>12500+500</f>
        <v>13000</v>
      </c>
      <c r="H23" s="19">
        <f>E23*G23</f>
        <v>13000</v>
      </c>
      <c r="I23" s="25"/>
      <c r="J23" s="25"/>
      <c r="K23" s="25"/>
      <c r="L23" s="25"/>
      <c r="M23" s="25"/>
      <c r="N23" s="25"/>
      <c r="O23" s="25"/>
      <c r="P23" s="25"/>
      <c r="Q23" s="19"/>
      <c r="R23" s="19"/>
    </row>
    <row r="24" spans="1:24" x14ac:dyDescent="0.3">
      <c r="A24" s="3">
        <v>5</v>
      </c>
      <c r="B24" t="s">
        <v>0</v>
      </c>
      <c r="E24" s="3">
        <v>1</v>
      </c>
      <c r="G24" s="19">
        <f>VLOOKUP(G3,I1:J10,2,0)+3000</f>
        <v>17000</v>
      </c>
      <c r="H24" s="19">
        <f>E24*G24</f>
        <v>17000</v>
      </c>
      <c r="I24" s="25"/>
      <c r="J24" s="25"/>
      <c r="K24" s="25"/>
      <c r="L24" s="25"/>
      <c r="M24" s="25"/>
      <c r="N24" s="25"/>
      <c r="O24" s="25"/>
      <c r="P24" s="25"/>
      <c r="Q24" s="19"/>
      <c r="R24" s="19"/>
    </row>
    <row r="25" spans="1:24" x14ac:dyDescent="0.3">
      <c r="A25" s="3">
        <v>16</v>
      </c>
      <c r="B25" t="s">
        <v>77</v>
      </c>
      <c r="D25" t="s">
        <v>28</v>
      </c>
      <c r="E25" s="3">
        <v>1</v>
      </c>
      <c r="G25" s="19">
        <f>75100+2000+2500</f>
        <v>79600</v>
      </c>
      <c r="H25" s="19">
        <f>E25*G25</f>
        <v>79600</v>
      </c>
      <c r="I25" s="25"/>
      <c r="J25" s="25"/>
      <c r="K25" s="25"/>
      <c r="L25" s="25"/>
      <c r="M25" s="25"/>
      <c r="N25" s="25"/>
      <c r="O25" s="25"/>
      <c r="P25" s="25"/>
      <c r="Q25" s="19"/>
      <c r="R25" s="19"/>
    </row>
    <row r="26" spans="1:24" x14ac:dyDescent="0.3">
      <c r="A26" s="3"/>
      <c r="B26" t="s">
        <v>50</v>
      </c>
      <c r="E26" s="3">
        <v>1</v>
      </c>
      <c r="G26" s="19">
        <v>2500</v>
      </c>
      <c r="H26" s="19">
        <f>G26</f>
        <v>2500</v>
      </c>
      <c r="I26" s="25"/>
      <c r="J26" s="25"/>
      <c r="K26" s="25"/>
      <c r="L26" s="25"/>
      <c r="M26" s="25"/>
      <c r="N26" s="25"/>
      <c r="O26" s="25"/>
      <c r="P26" s="25"/>
      <c r="Q26" s="19"/>
      <c r="R26" s="19"/>
    </row>
    <row r="27" spans="1:24" x14ac:dyDescent="0.3">
      <c r="A27" s="3">
        <v>6</v>
      </c>
      <c r="B27" t="s">
        <v>78</v>
      </c>
      <c r="C27" t="s">
        <v>53</v>
      </c>
      <c r="D27" t="s">
        <v>52</v>
      </c>
      <c r="E27" s="9">
        <f>(((R14/1000)*2)+2)*4</f>
        <v>91.2</v>
      </c>
      <c r="F27" s="10"/>
      <c r="G27" s="19">
        <v>77</v>
      </c>
      <c r="H27" s="22">
        <f>G27*E27</f>
        <v>7022.4000000000005</v>
      </c>
      <c r="I27" s="25"/>
      <c r="J27" s="28"/>
      <c r="K27" s="25"/>
      <c r="L27" s="28"/>
      <c r="M27" s="25"/>
      <c r="N27" s="28"/>
      <c r="O27" s="25"/>
      <c r="P27" s="28"/>
      <c r="Q27" s="19"/>
      <c r="R27" s="19"/>
    </row>
    <row r="28" spans="1:24" x14ac:dyDescent="0.3">
      <c r="A28" s="3">
        <v>7</v>
      </c>
      <c r="B28" t="s">
        <v>79</v>
      </c>
      <c r="C28" t="s">
        <v>54</v>
      </c>
      <c r="D28" t="s">
        <v>60</v>
      </c>
      <c r="E28" s="9">
        <f>((R14+3000+3000)/1000)*4</f>
        <v>65.599999999999994</v>
      </c>
      <c r="F28" s="10"/>
      <c r="G28" s="19">
        <v>128</v>
      </c>
      <c r="H28" s="22">
        <f>E28*G28</f>
        <v>8396.7999999999993</v>
      </c>
      <c r="I28" s="25"/>
      <c r="J28" s="28"/>
      <c r="K28" s="25"/>
      <c r="L28" s="28"/>
      <c r="M28" s="25"/>
      <c r="N28" s="28"/>
      <c r="O28" s="25"/>
      <c r="P28" s="28"/>
      <c r="Q28" s="19"/>
      <c r="R28" s="19"/>
    </row>
    <row r="29" spans="1:24" x14ac:dyDescent="0.3">
      <c r="A29" s="3">
        <v>8</v>
      </c>
      <c r="B29" t="s">
        <v>14</v>
      </c>
      <c r="E29" s="3">
        <v>1</v>
      </c>
      <c r="G29" s="19">
        <v>40000</v>
      </c>
      <c r="H29" s="19">
        <f>E29*G29</f>
        <v>40000</v>
      </c>
      <c r="I29" s="25"/>
      <c r="J29" s="25"/>
      <c r="K29" s="25"/>
      <c r="L29" s="25"/>
      <c r="M29" s="25"/>
      <c r="N29" s="25"/>
      <c r="O29" s="25"/>
      <c r="P29" s="25"/>
      <c r="Q29" s="19"/>
      <c r="R29" s="19"/>
    </row>
    <row r="30" spans="1:24" x14ac:dyDescent="0.3">
      <c r="A30" s="3">
        <v>9</v>
      </c>
      <c r="B30" t="s">
        <v>80</v>
      </c>
      <c r="D30" t="s">
        <v>55</v>
      </c>
      <c r="E30" s="3">
        <f>E27/4</f>
        <v>22.8</v>
      </c>
      <c r="G30" s="22">
        <f>E30*77+4000+1000</f>
        <v>6755.6</v>
      </c>
      <c r="H30" s="22">
        <f>G30</f>
        <v>6755.6</v>
      </c>
      <c r="I30" s="28"/>
      <c r="J30" s="28"/>
      <c r="K30" s="28"/>
      <c r="L30" s="28"/>
      <c r="M30" s="28"/>
      <c r="N30" s="28"/>
      <c r="O30" s="28"/>
      <c r="P30" s="28"/>
      <c r="Q30" s="19"/>
      <c r="R30" s="19"/>
    </row>
    <row r="31" spans="1:24" x14ac:dyDescent="0.3">
      <c r="A31" s="3">
        <v>10</v>
      </c>
      <c r="B31" t="s">
        <v>81</v>
      </c>
      <c r="D31" s="13">
        <f>15.5*38*(15.5+2)</f>
        <v>10307.5</v>
      </c>
      <c r="E31" s="3">
        <v>1</v>
      </c>
      <c r="G31" s="22">
        <f>D31</f>
        <v>10307.5</v>
      </c>
      <c r="H31" s="22">
        <f>E31*G31</f>
        <v>10307.5</v>
      </c>
      <c r="I31" s="28"/>
      <c r="J31" s="28"/>
      <c r="K31" s="28"/>
      <c r="L31" s="28"/>
      <c r="M31" s="28"/>
      <c r="N31" s="28"/>
      <c r="O31" s="28"/>
      <c r="P31" s="28"/>
      <c r="Q31" s="19"/>
      <c r="R31" s="19"/>
    </row>
    <row r="32" spans="1:24" x14ac:dyDescent="0.3">
      <c r="A32" s="3">
        <v>11</v>
      </c>
      <c r="B32" t="s">
        <v>82</v>
      </c>
      <c r="E32" s="3">
        <v>1</v>
      </c>
      <c r="G32" s="19">
        <v>4500</v>
      </c>
      <c r="H32" s="19">
        <f>E32*G32</f>
        <v>4500</v>
      </c>
      <c r="I32" s="25"/>
      <c r="J32" s="25"/>
      <c r="K32" s="25"/>
      <c r="L32" s="25"/>
      <c r="M32" s="25"/>
      <c r="N32" s="25"/>
      <c r="O32" s="25"/>
      <c r="P32" s="25"/>
      <c r="Q32" s="19"/>
      <c r="R32" s="19"/>
    </row>
    <row r="33" spans="1:18" ht="16.5" customHeight="1" x14ac:dyDescent="0.3">
      <c r="A33" s="3">
        <v>12</v>
      </c>
      <c r="B33" t="s">
        <v>83</v>
      </c>
      <c r="C33" t="s">
        <v>56</v>
      </c>
      <c r="D33" s="14">
        <f>R14/1000+10+10</f>
        <v>30.4</v>
      </c>
      <c r="E33" s="3">
        <v>1</v>
      </c>
      <c r="F33" s="4">
        <v>31</v>
      </c>
      <c r="G33" s="19">
        <f>50+2</f>
        <v>52</v>
      </c>
      <c r="H33" s="19">
        <f>G33*F33</f>
        <v>1612</v>
      </c>
      <c r="I33" s="25"/>
      <c r="J33" s="25"/>
      <c r="K33" s="25"/>
      <c r="L33" s="25"/>
      <c r="M33" s="25"/>
      <c r="N33" s="25"/>
      <c r="O33" s="25"/>
      <c r="P33" s="25"/>
      <c r="Q33" s="19"/>
      <c r="R33" s="19"/>
    </row>
    <row r="34" spans="1:18" ht="16.5" customHeight="1" x14ac:dyDescent="0.3">
      <c r="A34" s="3">
        <v>12</v>
      </c>
      <c r="B34" t="s">
        <v>83</v>
      </c>
      <c r="C34" t="s">
        <v>57</v>
      </c>
      <c r="D34" s="14">
        <f>(R14/1000)+G3*3+13</f>
        <v>29.4</v>
      </c>
      <c r="E34" s="3">
        <v>1</v>
      </c>
      <c r="F34" s="4">
        <v>30</v>
      </c>
      <c r="G34" s="19">
        <f>67+2</f>
        <v>69</v>
      </c>
      <c r="H34" s="19">
        <f>G34*F34</f>
        <v>2070</v>
      </c>
      <c r="I34" s="25"/>
      <c r="J34" s="25"/>
      <c r="K34" s="25"/>
      <c r="L34" s="25"/>
      <c r="M34" s="25"/>
      <c r="N34" s="25"/>
      <c r="O34" s="25"/>
      <c r="P34" s="25"/>
      <c r="Q34" s="19"/>
      <c r="R34" s="19"/>
    </row>
    <row r="35" spans="1:18" ht="16.5" customHeight="1" x14ac:dyDescent="0.3">
      <c r="A35" s="3">
        <v>12</v>
      </c>
      <c r="B35" t="s">
        <v>83</v>
      </c>
      <c r="C35" t="s">
        <v>58</v>
      </c>
      <c r="D35" s="14">
        <f>((R14/1000)+5)+G3*2+(R14/1000*8)</f>
        <v>102.6</v>
      </c>
      <c r="E35" s="3">
        <v>1</v>
      </c>
      <c r="F35" s="4">
        <v>103</v>
      </c>
      <c r="G35" s="19">
        <f>20+3</f>
        <v>23</v>
      </c>
      <c r="H35" s="22">
        <f>G35*F35</f>
        <v>2369</v>
      </c>
      <c r="I35" s="25"/>
      <c r="J35" s="28"/>
      <c r="K35" s="25"/>
      <c r="L35" s="28"/>
      <c r="M35" s="28"/>
      <c r="N35" s="28"/>
      <c r="O35" s="25"/>
      <c r="P35" s="28"/>
      <c r="Q35" s="19"/>
      <c r="R35" s="19"/>
    </row>
    <row r="36" spans="1:18" ht="16.5" customHeight="1" x14ac:dyDescent="0.3">
      <c r="A36" s="3">
        <v>12</v>
      </c>
      <c r="B36" t="s">
        <v>83</v>
      </c>
      <c r="C36" t="s">
        <v>95</v>
      </c>
      <c r="D36" s="14">
        <v>50</v>
      </c>
      <c r="E36" s="3">
        <v>1</v>
      </c>
      <c r="F36" s="4">
        <v>50</v>
      </c>
      <c r="G36" s="19">
        <f>35+2.2</f>
        <v>37.200000000000003</v>
      </c>
      <c r="H36" s="19">
        <f>G36*F36</f>
        <v>1860.0000000000002</v>
      </c>
      <c r="I36" s="25"/>
      <c r="J36" s="25"/>
      <c r="K36" s="25"/>
      <c r="L36" s="25"/>
      <c r="M36" s="25"/>
      <c r="N36" s="25"/>
      <c r="O36" s="25"/>
      <c r="P36" s="25"/>
      <c r="Q36" s="19"/>
      <c r="R36" s="19"/>
    </row>
    <row r="37" spans="1:18" ht="16.5" customHeight="1" x14ac:dyDescent="0.3">
      <c r="A37" s="3">
        <v>12</v>
      </c>
      <c r="B37" t="s">
        <v>83</v>
      </c>
      <c r="C37" t="s">
        <v>94</v>
      </c>
      <c r="D37" s="14">
        <v>50</v>
      </c>
      <c r="E37" s="3">
        <v>1</v>
      </c>
      <c r="F37" s="4">
        <v>50</v>
      </c>
      <c r="G37" s="19">
        <f>25+2</f>
        <v>27</v>
      </c>
      <c r="H37" s="19">
        <f>G37*F37</f>
        <v>1350</v>
      </c>
      <c r="I37" s="25"/>
      <c r="J37" s="25"/>
      <c r="K37" s="25"/>
      <c r="L37" s="25"/>
      <c r="M37" s="25"/>
      <c r="N37" s="25"/>
      <c r="O37" s="25"/>
      <c r="P37" s="25"/>
      <c r="Q37" s="19"/>
      <c r="R37" s="19"/>
    </row>
    <row r="38" spans="1:18" s="7" customFormat="1" x14ac:dyDescent="0.3">
      <c r="A38" s="8">
        <v>13</v>
      </c>
      <c r="B38" s="7" t="s">
        <v>84</v>
      </c>
      <c r="D38" s="7" t="s">
        <v>93</v>
      </c>
      <c r="E38" s="3">
        <v>1</v>
      </c>
      <c r="F38" s="8"/>
      <c r="G38" s="23">
        <v>57016</v>
      </c>
      <c r="H38" s="23">
        <f>E38*G38</f>
        <v>57016</v>
      </c>
      <c r="I38" s="30"/>
      <c r="J38" s="30"/>
      <c r="K38" s="30"/>
      <c r="L38" s="30"/>
      <c r="M38" s="30"/>
      <c r="N38" s="30"/>
      <c r="O38" s="30"/>
      <c r="P38" s="30"/>
      <c r="Q38" s="23"/>
      <c r="R38" s="23"/>
    </row>
    <row r="39" spans="1:18" s="7" customFormat="1" x14ac:dyDescent="0.3">
      <c r="A39" s="8">
        <v>14</v>
      </c>
      <c r="B39" s="7" t="s">
        <v>85</v>
      </c>
      <c r="D39" s="7" t="s">
        <v>93</v>
      </c>
      <c r="E39" s="8">
        <f>G3</f>
        <v>2</v>
      </c>
      <c r="F39" s="8"/>
      <c r="G39" s="23">
        <f>38191+2000</f>
        <v>40191</v>
      </c>
      <c r="H39" s="23">
        <f>E39*G39</f>
        <v>80382</v>
      </c>
      <c r="I39" s="30"/>
      <c r="J39" s="30"/>
      <c r="K39" s="30"/>
      <c r="L39" s="30"/>
      <c r="M39" s="30"/>
      <c r="N39" s="30"/>
      <c r="O39" s="30"/>
      <c r="P39" s="30"/>
      <c r="Q39" s="23"/>
      <c r="R39" s="23"/>
    </row>
    <row r="40" spans="1:18" x14ac:dyDescent="0.3">
      <c r="A40" s="3">
        <v>17</v>
      </c>
      <c r="B40" t="s">
        <v>1</v>
      </c>
      <c r="C40" s="7" t="s">
        <v>27</v>
      </c>
      <c r="E40" s="3">
        <v>1</v>
      </c>
      <c r="G40" s="19">
        <v>25000</v>
      </c>
      <c r="H40" s="19">
        <f>G40*E40</f>
        <v>25000</v>
      </c>
      <c r="I40" s="25"/>
      <c r="J40" s="25"/>
      <c r="K40" s="25"/>
      <c r="L40" s="25"/>
      <c r="M40" s="25"/>
      <c r="N40" s="25"/>
      <c r="O40" s="25"/>
      <c r="P40" s="25"/>
      <c r="Q40" s="19"/>
      <c r="R40" s="19"/>
    </row>
    <row r="41" spans="1:18" x14ac:dyDescent="0.3">
      <c r="A41" s="3">
        <v>18</v>
      </c>
      <c r="B41" t="s">
        <v>86</v>
      </c>
      <c r="C41">
        <f>1500+1500+1000+1000</f>
        <v>5000</v>
      </c>
      <c r="D41" t="s">
        <v>91</v>
      </c>
      <c r="E41" s="3">
        <v>1</v>
      </c>
      <c r="G41" s="19">
        <v>5000</v>
      </c>
      <c r="H41" s="19">
        <f>E41*G41</f>
        <v>5000</v>
      </c>
      <c r="I41" s="30"/>
      <c r="J41" s="25"/>
      <c r="K41" s="25"/>
      <c r="L41" s="25"/>
      <c r="M41" s="25"/>
      <c r="N41" s="25"/>
      <c r="O41" s="25"/>
      <c r="P41" s="25"/>
      <c r="Q41" s="19"/>
      <c r="R41" s="19"/>
    </row>
    <row r="42" spans="1:18" x14ac:dyDescent="0.3">
      <c r="A42" s="3"/>
      <c r="B42" t="s">
        <v>49</v>
      </c>
      <c r="D42">
        <f>2000+1000+2000</f>
        <v>5000</v>
      </c>
      <c r="E42" s="3">
        <v>1</v>
      </c>
      <c r="G42" s="19">
        <v>5000</v>
      </c>
      <c r="H42" s="19">
        <f>G42*E42</f>
        <v>5000</v>
      </c>
      <c r="I42" s="30"/>
      <c r="J42" s="25"/>
      <c r="K42" s="25"/>
      <c r="L42" s="25"/>
      <c r="M42" s="25"/>
      <c r="N42" s="25"/>
      <c r="O42" s="25"/>
      <c r="P42" s="25"/>
      <c r="Q42" s="19"/>
      <c r="R42" s="19"/>
    </row>
    <row r="43" spans="1:18" x14ac:dyDescent="0.3">
      <c r="A43" s="3">
        <v>19</v>
      </c>
      <c r="B43" t="s">
        <v>87</v>
      </c>
      <c r="E43" s="3">
        <v>1</v>
      </c>
      <c r="G43" s="19">
        <v>7500</v>
      </c>
      <c r="H43" s="19">
        <f>E43*G43</f>
        <v>7500</v>
      </c>
      <c r="I43" s="25"/>
      <c r="J43" s="25"/>
      <c r="K43" s="25"/>
      <c r="L43" s="25"/>
      <c r="M43" s="25"/>
      <c r="N43" s="25"/>
      <c r="O43" s="25"/>
      <c r="P43" s="25"/>
      <c r="Q43" s="19"/>
      <c r="R43" s="19"/>
    </row>
    <row r="44" spans="1:18" x14ac:dyDescent="0.3">
      <c r="A44" s="3"/>
      <c r="D44" t="s">
        <v>9</v>
      </c>
      <c r="G44" s="19"/>
      <c r="H44" s="22">
        <f>SUM(H16:H43)</f>
        <v>578191.30000000005</v>
      </c>
      <c r="I44" s="25"/>
      <c r="J44" s="28"/>
      <c r="K44" s="25"/>
      <c r="L44" s="28"/>
      <c r="M44" s="25"/>
      <c r="N44" s="28"/>
      <c r="O44" s="25"/>
      <c r="P44" s="28"/>
      <c r="Q44" s="19"/>
      <c r="R44" s="19"/>
    </row>
    <row r="45" spans="1:18" x14ac:dyDescent="0.3">
      <c r="A45" s="3">
        <v>20</v>
      </c>
      <c r="B45" t="s">
        <v>61</v>
      </c>
      <c r="D45" t="s">
        <v>62</v>
      </c>
      <c r="E45" s="3">
        <f>G3</f>
        <v>2</v>
      </c>
      <c r="G45" s="19">
        <v>12000</v>
      </c>
      <c r="H45" s="19">
        <f>E45*G45</f>
        <v>24000</v>
      </c>
      <c r="I45" s="30"/>
      <c r="J45" s="25"/>
      <c r="K45" s="25"/>
      <c r="L45" s="25"/>
      <c r="M45" s="25"/>
      <c r="N45" s="25"/>
      <c r="O45" s="25"/>
      <c r="P45" s="25"/>
      <c r="Q45" s="19"/>
      <c r="R45" s="19"/>
    </row>
    <row r="46" spans="1:18" x14ac:dyDescent="0.3">
      <c r="A46" s="3">
        <v>21</v>
      </c>
      <c r="B46" t="s">
        <v>88</v>
      </c>
      <c r="E46" s="3">
        <v>1</v>
      </c>
      <c r="G46" s="19">
        <v>12000</v>
      </c>
      <c r="H46" s="19">
        <f>E46*G46</f>
        <v>12000</v>
      </c>
      <c r="I46" s="25"/>
      <c r="J46" s="25"/>
      <c r="K46" s="25"/>
      <c r="L46" s="25"/>
      <c r="M46" s="25"/>
      <c r="N46" s="25"/>
      <c r="O46" s="25"/>
      <c r="P46" s="25"/>
      <c r="Q46" s="19"/>
      <c r="R46" s="19"/>
    </row>
    <row r="47" spans="1:18" x14ac:dyDescent="0.3">
      <c r="A47" s="3">
        <v>22</v>
      </c>
      <c r="B47" t="s">
        <v>89</v>
      </c>
      <c r="E47" s="3">
        <v>1</v>
      </c>
      <c r="G47" s="22">
        <f>H44*5%</f>
        <v>28909.565000000002</v>
      </c>
      <c r="H47" s="22">
        <f>E47*G47</f>
        <v>28909.565000000002</v>
      </c>
      <c r="I47" s="28"/>
      <c r="J47" s="28"/>
      <c r="K47" s="28"/>
      <c r="L47" s="28"/>
      <c r="M47" s="28"/>
      <c r="N47" s="28"/>
      <c r="O47" s="28"/>
      <c r="P47" s="28"/>
      <c r="Q47" s="19"/>
      <c r="R47" s="19"/>
    </row>
    <row r="48" spans="1:18" x14ac:dyDescent="0.3">
      <c r="D48" t="s">
        <v>9</v>
      </c>
      <c r="G48" s="19"/>
      <c r="H48" s="22">
        <f>H44+H45+H46+H47</f>
        <v>643100.86499999999</v>
      </c>
      <c r="I48" s="25"/>
      <c r="J48" s="28"/>
      <c r="K48" s="25"/>
      <c r="L48" s="28"/>
      <c r="M48" s="25"/>
      <c r="N48" s="28"/>
      <c r="O48" s="25"/>
      <c r="P48" s="28"/>
      <c r="Q48" s="19"/>
      <c r="R48" s="19"/>
    </row>
    <row r="49" spans="2:18" x14ac:dyDescent="0.3">
      <c r="B49" t="s">
        <v>2</v>
      </c>
      <c r="E49" s="31">
        <v>0.2</v>
      </c>
      <c r="G49" s="19"/>
      <c r="H49" s="22">
        <f>H48*20%</f>
        <v>128620.17300000001</v>
      </c>
      <c r="I49" s="25"/>
      <c r="J49" s="28"/>
      <c r="K49" s="25"/>
      <c r="L49" s="28"/>
      <c r="M49" s="25"/>
      <c r="N49" s="28"/>
      <c r="O49" s="25"/>
      <c r="P49" s="28"/>
      <c r="Q49" s="19"/>
      <c r="R49" s="19"/>
    </row>
    <row r="50" spans="2:18" x14ac:dyDescent="0.3">
      <c r="B50" t="s">
        <v>3</v>
      </c>
      <c r="G50" s="19"/>
      <c r="H50" s="22">
        <f>H49+H48</f>
        <v>771721.03799999994</v>
      </c>
      <c r="I50" s="25"/>
      <c r="J50" s="28"/>
      <c r="K50" s="25"/>
      <c r="L50" s="28"/>
      <c r="M50" s="25"/>
      <c r="N50" s="28"/>
      <c r="O50" s="25"/>
      <c r="P50" s="28"/>
      <c r="Q50" s="19"/>
      <c r="R50" s="19"/>
    </row>
    <row r="51" spans="2:18" x14ac:dyDescent="0.3">
      <c r="J51" t="s">
        <v>20</v>
      </c>
      <c r="K51" t="s">
        <v>20</v>
      </c>
      <c r="Q51" s="19"/>
      <c r="R51" s="19" t="s">
        <v>20</v>
      </c>
    </row>
    <row r="52" spans="2:18" x14ac:dyDescent="0.3">
      <c r="Q52" s="19"/>
      <c r="R52" s="19"/>
    </row>
    <row r="53" spans="2:18" x14ac:dyDescent="0.3">
      <c r="Q53" s="19"/>
      <c r="R53" s="19"/>
    </row>
    <row r="54" spans="2:18" x14ac:dyDescent="0.3">
      <c r="Q54" s="19"/>
      <c r="R54" s="19"/>
    </row>
    <row r="55" spans="2:18" x14ac:dyDescent="0.3">
      <c r="Q55" s="19"/>
      <c r="R55" s="19"/>
    </row>
    <row r="56" spans="2:18" x14ac:dyDescent="0.3">
      <c r="Q56" s="19"/>
      <c r="R56" s="19"/>
    </row>
    <row r="57" spans="2:18" x14ac:dyDescent="0.3">
      <c r="Q57" s="19"/>
      <c r="R57" s="19"/>
    </row>
    <row r="58" spans="2:18" x14ac:dyDescent="0.3">
      <c r="Q58" s="19"/>
      <c r="R58" s="19"/>
    </row>
    <row r="59" spans="2:18" x14ac:dyDescent="0.3">
      <c r="Q59" s="19"/>
      <c r="R59" s="19"/>
    </row>
    <row r="60" spans="2:18" x14ac:dyDescent="0.3">
      <c r="Q60" s="19"/>
      <c r="R60" s="19"/>
    </row>
    <row r="61" spans="2:18" x14ac:dyDescent="0.3">
      <c r="Q61" s="19"/>
      <c r="R61" s="19"/>
    </row>
    <row r="62" spans="2:18" x14ac:dyDescent="0.3">
      <c r="Q62" s="19"/>
      <c r="R62" s="19"/>
    </row>
    <row r="63" spans="2:18" x14ac:dyDescent="0.3">
      <c r="Q63" s="19"/>
      <c r="R63" s="19"/>
    </row>
    <row r="64" spans="2:18" x14ac:dyDescent="0.3">
      <c r="Q64" s="19"/>
      <c r="R64" s="19"/>
    </row>
    <row r="65" spans="17:18" x14ac:dyDescent="0.3">
      <c r="Q65" s="19"/>
      <c r="R65" s="19"/>
    </row>
  </sheetData>
  <mergeCells count="9">
    <mergeCell ref="K14:L14"/>
    <mergeCell ref="M14:N14"/>
    <mergeCell ref="W15:X15"/>
    <mergeCell ref="T22:X22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2026-05-30T20:13:22Z</dcterms:modified>
</cp:coreProperties>
</file>