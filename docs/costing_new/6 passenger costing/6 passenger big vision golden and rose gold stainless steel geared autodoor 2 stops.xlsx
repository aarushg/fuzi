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72017150-437D-4418-AD25-1CDB052E2D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" l="1"/>
  <c r="G42" i="4" l="1"/>
  <c r="G41" i="4"/>
  <c r="G40" i="4"/>
  <c r="G37" i="4"/>
  <c r="G36" i="4"/>
  <c r="G35" i="4"/>
  <c r="G34" i="4"/>
  <c r="G33" i="4"/>
  <c r="G31" i="4"/>
  <c r="G30" i="4"/>
  <c r="E30" i="4"/>
  <c r="G25" i="4"/>
  <c r="G23" i="4"/>
  <c r="G16" i="4"/>
  <c r="H16" i="4" s="1"/>
  <c r="G18" i="4"/>
  <c r="E45" i="4" l="1"/>
  <c r="H43" i="4"/>
  <c r="H42" i="4"/>
  <c r="D42" i="4"/>
  <c r="C41" i="4"/>
  <c r="H40" i="4"/>
  <c r="G39" i="4"/>
  <c r="E39" i="4"/>
  <c r="H38" i="4"/>
  <c r="D31" i="4"/>
  <c r="H31" i="4" s="1"/>
  <c r="H29" i="4"/>
  <c r="H26" i="4"/>
  <c r="H23" i="4"/>
  <c r="H22" i="4"/>
  <c r="H21" i="4"/>
  <c r="H19" i="4"/>
  <c r="H18" i="4"/>
  <c r="H17" i="4"/>
  <c r="R14" i="4"/>
  <c r="J10" i="4"/>
  <c r="J9" i="4"/>
  <c r="J8" i="4"/>
  <c r="J7" i="4"/>
  <c r="J6" i="4"/>
  <c r="J5" i="4"/>
  <c r="J4" i="4"/>
  <c r="J3" i="4"/>
  <c r="J2" i="4"/>
  <c r="G24" i="4" s="1"/>
  <c r="H34" i="4" l="1"/>
  <c r="D35" i="4"/>
  <c r="E16" i="4"/>
  <c r="H33" i="4"/>
  <c r="H36" i="4"/>
  <c r="H39" i="4"/>
  <c r="H25" i="4"/>
  <c r="H32" i="4"/>
  <c r="H46" i="4"/>
  <c r="H20" i="4"/>
  <c r="D34" i="4"/>
  <c r="H45" i="4"/>
  <c r="E17" i="4"/>
  <c r="H24" i="4"/>
  <c r="E28" i="4"/>
  <c r="D33" i="4"/>
  <c r="H41" i="4"/>
  <c r="H35" i="4"/>
  <c r="H37" i="4"/>
  <c r="E27" i="4"/>
  <c r="H30" i="4" l="1"/>
  <c r="H28" i="4"/>
  <c r="H27" i="4"/>
  <c r="H44" i="4" l="1"/>
  <c r="G47" i="4" l="1"/>
  <c r="H47" i="4" s="1"/>
  <c r="H48" i="4" s="1"/>
  <c r="H49" i="4" l="1"/>
  <c r="H50" i="4" s="1"/>
</calcChain>
</file>

<file path=xl/sharedStrings.xml><?xml version="1.0" encoding="utf-8"?>
<sst xmlns="http://schemas.openxmlformats.org/spreadsheetml/2006/main" count="112" uniqueCount="96">
  <si>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</si>
  <si>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</si>
  <si>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</si>
  <si>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</si>
  <si>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</si>
  <si>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</si>
  <si>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</si>
  <si>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</si>
  <si>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</si>
  <si>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</si>
  <si>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</si>
  <si>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</si>
  <si>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</si>
  <si>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</si>
  <si>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</si>
  <si>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</si>
  <si>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</si>
  <si>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</si>
  <si>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</si>
  <si>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</si>
  <si>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</si>
  <si>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</si>
  <si>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</si>
  <si>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</si>
  <si>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</si>
  <si>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</si>
  <si>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pvc</t>
  </si>
  <si>
    <t>&amp; channel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</si>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</sst>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9"/>
  <sheetViews>
    <sheetView tabSelected="1" zoomScale="81" zoomScaleNormal="110" workbookViewId="0">
      <selection activeCell="E50" sqref="E5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5" x14ac:dyDescent="0.3">
      <c r="H1" s="2" t="s">
        <v>0</v>
      </c>
      <c r="I1" s="2" t="s">
        <v>63</v>
      </c>
      <c r="J1" s="2" t="s">
        <v>72</v>
      </c>
      <c r="Q1" s="1" t="s">
        <v>31</v>
      </c>
      <c r="R1" s="1">
        <v>1600</v>
      </c>
      <c r="S1" t="s">
        <v>20</v>
      </c>
      <c r="T1" s="19"/>
      <c r="U1" s="19"/>
      <c r="V1" s="19"/>
      <c r="W1" s="19"/>
      <c r="X1" s="19"/>
      <c r="Y1" s="19"/>
    </row>
    <row r="2" spans="1:25" x14ac:dyDescent="0.3">
      <c r="B2" t="s">
        <v>64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1" t="s">
        <v>32</v>
      </c>
      <c r="R2" s="1">
        <v>0</v>
      </c>
      <c r="T2" s="20"/>
      <c r="U2" s="19"/>
      <c r="V2" s="20"/>
      <c r="W2" s="19"/>
      <c r="X2" s="19"/>
      <c r="Y2" s="19"/>
    </row>
    <row r="3" spans="1:25" x14ac:dyDescent="0.3">
      <c r="B3" t="s">
        <v>63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1" t="s">
        <v>33</v>
      </c>
      <c r="R3" s="1">
        <v>4000</v>
      </c>
      <c r="T3" s="20"/>
      <c r="U3" s="19"/>
      <c r="V3" s="20"/>
      <c r="W3" s="19"/>
      <c r="X3" s="19"/>
      <c r="Y3" s="19"/>
    </row>
    <row r="4" spans="1:25" x14ac:dyDescent="0.3">
      <c r="B4" t="s">
        <v>65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34</v>
      </c>
      <c r="R4" s="1">
        <v>0</v>
      </c>
      <c r="T4" s="20"/>
      <c r="U4" s="19"/>
      <c r="V4" s="20"/>
      <c r="W4" s="19"/>
      <c r="X4" s="19"/>
      <c r="Y4" s="19"/>
    </row>
    <row r="5" spans="1:25" x14ac:dyDescent="0.3">
      <c r="B5" t="s">
        <v>66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1" t="s">
        <v>35</v>
      </c>
      <c r="R5" s="1">
        <v>0</v>
      </c>
      <c r="T5" s="20"/>
      <c r="U5" s="19"/>
      <c r="V5" s="20"/>
      <c r="W5" s="19"/>
      <c r="X5" s="19"/>
      <c r="Y5" s="19"/>
    </row>
    <row r="6" spans="1:25" x14ac:dyDescent="0.3">
      <c r="B6" t="s">
        <v>67</v>
      </c>
      <c r="E6" s="3" t="s">
        <v>24</v>
      </c>
      <c r="H6" s="2" t="s">
        <v>8</v>
      </c>
      <c r="I6" s="5">
        <v>6</v>
      </c>
      <c r="J6" s="2">
        <f>8900+1500+1550+2450+1850*4+2000</f>
        <v>23800</v>
      </c>
      <c r="Q6" s="1" t="s">
        <v>36</v>
      </c>
      <c r="R6" s="1">
        <v>0</v>
      </c>
      <c r="T6" s="20"/>
      <c r="U6" s="19"/>
      <c r="V6" s="20"/>
      <c r="W6" s="19"/>
      <c r="X6" s="19"/>
      <c r="Y6" s="19"/>
    </row>
    <row r="7" spans="1:25" x14ac:dyDescent="0.3">
      <c r="B7" t="s">
        <v>68</v>
      </c>
      <c r="E7" s="3" t="s">
        <v>24</v>
      </c>
      <c r="H7" s="2" t="s">
        <v>16</v>
      </c>
      <c r="I7" s="5">
        <v>7</v>
      </c>
      <c r="J7" s="2">
        <f>9250+1750+1550+2450+1850*5+2000</f>
        <v>26250</v>
      </c>
      <c r="Q7" s="1" t="s">
        <v>37</v>
      </c>
      <c r="R7" s="1">
        <v>0</v>
      </c>
      <c r="T7" s="19"/>
      <c r="U7" s="19"/>
      <c r="V7" s="19"/>
      <c r="W7" s="19"/>
      <c r="X7" s="19"/>
      <c r="Y7" s="19"/>
    </row>
    <row r="8" spans="1:25" x14ac:dyDescent="0.3">
      <c r="B8" t="s">
        <v>69</v>
      </c>
      <c r="E8" s="3" t="s">
        <v>25</v>
      </c>
      <c r="H8" s="2" t="s">
        <v>17</v>
      </c>
      <c r="I8" s="5">
        <v>8</v>
      </c>
      <c r="J8" s="2">
        <f>9600+2000+1550+2450+1850*6+2000</f>
        <v>28700</v>
      </c>
      <c r="Q8" s="1" t="s">
        <v>38</v>
      </c>
      <c r="R8" s="1">
        <v>0</v>
      </c>
      <c r="T8" s="20"/>
      <c r="U8" s="19"/>
      <c r="V8" s="20"/>
      <c r="W8" s="19"/>
      <c r="X8" s="19"/>
      <c r="Y8" s="19"/>
    </row>
    <row r="9" spans="1:25" x14ac:dyDescent="0.3">
      <c r="B9" t="s">
        <v>70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1" t="s">
        <v>39</v>
      </c>
      <c r="R9" s="1">
        <v>0</v>
      </c>
      <c r="T9" s="21"/>
      <c r="U9" s="19"/>
      <c r="V9" s="20"/>
      <c r="W9" s="19"/>
      <c r="X9" s="19"/>
      <c r="Y9" s="19"/>
    </row>
    <row r="10" spans="1:25" x14ac:dyDescent="0.3">
      <c r="B10" t="s">
        <v>71</v>
      </c>
      <c r="D10" t="s">
        <v>20</v>
      </c>
      <c r="E10" s="3" t="s">
        <v>26</v>
      </c>
      <c r="H10" s="2" t="s">
        <v>19</v>
      </c>
      <c r="I10" s="5">
        <v>10</v>
      </c>
      <c r="J10" s="2">
        <f>10300+2500+1550+2450+1850*8+2000</f>
        <v>33600</v>
      </c>
      <c r="K10" s="6"/>
      <c r="Q10" s="1" t="s">
        <v>40</v>
      </c>
      <c r="R10" s="1">
        <v>0</v>
      </c>
      <c r="T10" s="19"/>
      <c r="U10" s="19"/>
      <c r="V10" s="20"/>
      <c r="W10" s="19"/>
      <c r="X10" s="19"/>
      <c r="Y10" s="19"/>
    </row>
    <row r="11" spans="1:25" x14ac:dyDescent="0.3">
      <c r="D11" t="s">
        <v>20</v>
      </c>
      <c r="K11" s="6"/>
      <c r="Q11" s="1" t="s">
        <v>41</v>
      </c>
      <c r="R11" s="1">
        <v>0</v>
      </c>
      <c r="T11" s="19"/>
      <c r="U11" s="19"/>
      <c r="V11" s="20"/>
      <c r="W11" s="19"/>
      <c r="X11" s="19"/>
      <c r="Y11" s="19"/>
    </row>
    <row r="12" spans="1:25" x14ac:dyDescent="0.3">
      <c r="K12" s="6"/>
      <c r="Q12" s="1" t="s">
        <v>42</v>
      </c>
      <c r="R12" s="1">
        <v>0</v>
      </c>
      <c r="T12" s="19"/>
      <c r="U12" s="19"/>
      <c r="V12" s="20"/>
      <c r="W12" s="19"/>
      <c r="X12" s="19"/>
      <c r="Y12" s="19"/>
    </row>
    <row r="13" spans="1:25" x14ac:dyDescent="0.3">
      <c r="K13" s="6"/>
      <c r="Q13" s="1" t="s">
        <v>43</v>
      </c>
      <c r="R13" s="1">
        <v>4800</v>
      </c>
      <c r="T13" s="19"/>
      <c r="U13" s="19"/>
      <c r="V13" s="20"/>
      <c r="W13" s="19"/>
      <c r="X13" s="19"/>
      <c r="Y13" s="19"/>
    </row>
    <row r="14" spans="1:25" x14ac:dyDescent="0.3">
      <c r="K14" s="25"/>
      <c r="L14" s="25"/>
      <c r="M14" s="25"/>
      <c r="N14" s="25"/>
      <c r="Q14" s="1" t="s">
        <v>44</v>
      </c>
      <c r="R14" s="1">
        <f>SUM(R1:R13)</f>
        <v>10400</v>
      </c>
      <c r="T14" s="19"/>
      <c r="U14" s="19"/>
      <c r="V14" s="20"/>
      <c r="W14" s="19"/>
      <c r="X14" s="19"/>
      <c r="Y14" s="19"/>
    </row>
    <row r="15" spans="1:25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5" t="s">
        <v>10</v>
      </c>
      <c r="H15" s="15"/>
      <c r="K15" s="15"/>
      <c r="L15" s="15"/>
      <c r="M15" s="15"/>
      <c r="N15" s="15"/>
      <c r="O15" s="15"/>
      <c r="P15" s="15"/>
      <c r="Q15" s="18"/>
      <c r="R15" s="18"/>
      <c r="S15" s="17"/>
      <c r="T15" s="22"/>
      <c r="U15" s="22"/>
      <c r="V15" s="23"/>
      <c r="W15" s="24"/>
      <c r="X15" s="24"/>
      <c r="Y15" s="22"/>
    </row>
    <row r="16" spans="1:25" x14ac:dyDescent="0.3">
      <c r="A16" s="3">
        <v>1</v>
      </c>
      <c r="B16" t="s">
        <v>73</v>
      </c>
      <c r="C16" t="s">
        <v>90</v>
      </c>
      <c r="D16" t="s">
        <v>29</v>
      </c>
      <c r="E16" s="11">
        <f>(R14/5000)*2</f>
        <v>4.16</v>
      </c>
      <c r="F16" s="11">
        <v>5</v>
      </c>
      <c r="G16">
        <f>4800+200</f>
        <v>5000</v>
      </c>
      <c r="H16" s="13">
        <f>G16*F16</f>
        <v>25000</v>
      </c>
      <c r="L16" s="13"/>
      <c r="N16" s="13"/>
      <c r="P16" s="13"/>
      <c r="Q16" s="16"/>
      <c r="R16" s="26"/>
      <c r="S16" s="16"/>
      <c r="T16" s="19"/>
      <c r="U16" s="19"/>
      <c r="V16" s="20"/>
      <c r="W16" s="19"/>
      <c r="X16" s="19"/>
      <c r="Y16" s="19"/>
    </row>
    <row r="17" spans="1:25" x14ac:dyDescent="0.3">
      <c r="A17" s="3">
        <v>2</v>
      </c>
      <c r="B17" t="s">
        <v>47</v>
      </c>
      <c r="C17" t="s">
        <v>46</v>
      </c>
      <c r="D17" t="s">
        <v>45</v>
      </c>
      <c r="E17" s="11">
        <f>((R14-900)/2000)+2</f>
        <v>6.75</v>
      </c>
      <c r="F17" s="4">
        <v>7</v>
      </c>
      <c r="G17">
        <v>950</v>
      </c>
      <c r="H17" s="13">
        <f>G17*F17</f>
        <v>6650</v>
      </c>
      <c r="L17" s="13"/>
      <c r="N17" s="13"/>
      <c r="Q17" s="16"/>
      <c r="R17" s="16"/>
      <c r="S17" s="16"/>
      <c r="T17" s="19"/>
      <c r="U17" s="19"/>
      <c r="V17" s="20"/>
      <c r="W17" s="19"/>
      <c r="X17" s="19"/>
      <c r="Y17" s="19"/>
    </row>
    <row r="18" spans="1:25" x14ac:dyDescent="0.3">
      <c r="A18" s="3">
        <v>3</v>
      </c>
      <c r="B18" t="s">
        <v>74</v>
      </c>
      <c r="C18" t="s">
        <v>48</v>
      </c>
      <c r="E18" s="3">
        <v>1</v>
      </c>
      <c r="G18">
        <f>75000+10000</f>
        <v>85000</v>
      </c>
      <c r="H18">
        <f>E18*G18</f>
        <v>85000</v>
      </c>
      <c r="Q18" s="16"/>
      <c r="R18" s="16"/>
      <c r="S18" s="16"/>
      <c r="T18" s="19"/>
      <c r="U18" s="19"/>
      <c r="V18" s="20"/>
      <c r="W18" s="19"/>
      <c r="X18" s="19"/>
      <c r="Y18" s="19"/>
    </row>
    <row r="19" spans="1:25" x14ac:dyDescent="0.3">
      <c r="A19" s="3" t="s">
        <v>20</v>
      </c>
      <c r="B19" t="s">
        <v>75</v>
      </c>
      <c r="E19" s="3">
        <v>1</v>
      </c>
      <c r="G19">
        <v>4000</v>
      </c>
      <c r="H19">
        <f>E19*G19</f>
        <v>4000</v>
      </c>
      <c r="Q19" s="16"/>
      <c r="R19" s="16"/>
      <c r="S19" s="16"/>
      <c r="T19" s="19"/>
      <c r="U19" s="19"/>
      <c r="V19" s="19"/>
      <c r="W19" s="19"/>
      <c r="X19" s="19"/>
      <c r="Y19" s="19"/>
    </row>
    <row r="20" spans="1:25" x14ac:dyDescent="0.3">
      <c r="A20" s="3"/>
      <c r="B20" t="s">
        <v>59</v>
      </c>
      <c r="E20" s="3">
        <v>1</v>
      </c>
      <c r="G20">
        <v>2500</v>
      </c>
      <c r="H20">
        <f>G20*E20</f>
        <v>2500</v>
      </c>
      <c r="Q20" s="16"/>
      <c r="R20" s="16"/>
      <c r="S20" s="16"/>
      <c r="T20" s="19"/>
      <c r="U20" s="19"/>
      <c r="V20" s="19"/>
      <c r="W20" s="19"/>
      <c r="X20" s="19"/>
      <c r="Y20" s="19"/>
    </row>
    <row r="21" spans="1:25" x14ac:dyDescent="0.3">
      <c r="A21" s="3"/>
      <c r="B21" t="s">
        <v>92</v>
      </c>
      <c r="E21" s="3">
        <v>1</v>
      </c>
      <c r="G21">
        <v>6000</v>
      </c>
      <c r="H21">
        <f>G21*E21</f>
        <v>6000</v>
      </c>
      <c r="Q21" s="16"/>
      <c r="R21" s="16"/>
      <c r="S21" s="16"/>
      <c r="T21" s="19"/>
      <c r="U21" s="19"/>
      <c r="V21" s="19"/>
      <c r="W21" s="19"/>
      <c r="X21" s="19"/>
      <c r="Y21" s="19"/>
    </row>
    <row r="22" spans="1:25" x14ac:dyDescent="0.3">
      <c r="A22" s="3">
        <v>4</v>
      </c>
      <c r="B22" t="s">
        <v>76</v>
      </c>
      <c r="D22" t="s">
        <v>51</v>
      </c>
      <c r="E22" s="3">
        <v>1</v>
      </c>
      <c r="G22">
        <f>37500+1500</f>
        <v>39000</v>
      </c>
      <c r="H22">
        <f>E22*G22</f>
        <v>39000</v>
      </c>
      <c r="Q22" s="16"/>
      <c r="R22" s="16"/>
      <c r="S22" s="16"/>
      <c r="T22" s="25"/>
      <c r="U22" s="25"/>
      <c r="V22" s="25"/>
      <c r="W22" s="25"/>
      <c r="X22" s="25"/>
      <c r="Y22" s="19"/>
    </row>
    <row r="23" spans="1:25" x14ac:dyDescent="0.3">
      <c r="A23" s="3">
        <v>5</v>
      </c>
      <c r="B23" t="s">
        <v>21</v>
      </c>
      <c r="E23" s="3">
        <v>1</v>
      </c>
      <c r="G23">
        <f>12500+500</f>
        <v>13000</v>
      </c>
      <c r="H23">
        <f>E23*G23</f>
        <v>13000</v>
      </c>
      <c r="O23" s="16"/>
      <c r="Q23" s="16"/>
      <c r="R23" s="16"/>
      <c r="S23" s="16"/>
      <c r="T23" s="19"/>
      <c r="U23" s="19"/>
      <c r="V23" s="19"/>
      <c r="W23" s="19"/>
      <c r="X23" s="19"/>
      <c r="Y23" s="19"/>
    </row>
    <row r="24" spans="1:25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O24" s="16"/>
      <c r="Q24" s="16"/>
      <c r="R24" s="16"/>
      <c r="S24" s="16"/>
      <c r="T24" s="19"/>
      <c r="U24" s="19"/>
      <c r="V24" s="19"/>
      <c r="W24" s="19"/>
      <c r="X24" s="19"/>
      <c r="Y24" s="19"/>
    </row>
    <row r="25" spans="1:25" x14ac:dyDescent="0.3">
      <c r="A25" s="3">
        <v>16</v>
      </c>
      <c r="B25" t="s">
        <v>77</v>
      </c>
      <c r="D25" t="s">
        <v>28</v>
      </c>
      <c r="E25" s="3">
        <v>1</v>
      </c>
      <c r="G25">
        <f>62000+2000+2500</f>
        <v>66500</v>
      </c>
      <c r="H25">
        <f>E25*G25</f>
        <v>66500</v>
      </c>
      <c r="O25" s="16"/>
      <c r="Q25" s="16"/>
      <c r="R25" s="16"/>
      <c r="S25" s="16"/>
      <c r="T25" s="19"/>
      <c r="U25" s="19"/>
      <c r="V25" s="19"/>
      <c r="W25" s="19"/>
      <c r="X25" s="19"/>
      <c r="Y25" s="19"/>
    </row>
    <row r="26" spans="1:25" x14ac:dyDescent="0.3">
      <c r="A26" s="3"/>
      <c r="B26" t="s">
        <v>50</v>
      </c>
      <c r="E26" s="3">
        <v>1</v>
      </c>
      <c r="G26">
        <v>2500</v>
      </c>
      <c r="H26">
        <f>G26</f>
        <v>2500</v>
      </c>
      <c r="O26" s="16"/>
      <c r="Q26" s="16"/>
      <c r="R26" s="16"/>
      <c r="S26" s="16"/>
      <c r="T26" s="19"/>
      <c r="U26" s="19"/>
      <c r="V26" s="19"/>
      <c r="W26" s="19"/>
      <c r="X26" s="19"/>
      <c r="Y26" s="19"/>
    </row>
    <row r="27" spans="1:25" x14ac:dyDescent="0.3">
      <c r="A27" s="3">
        <v>6</v>
      </c>
      <c r="B27" t="s">
        <v>78</v>
      </c>
      <c r="C27" t="s">
        <v>52</v>
      </c>
      <c r="D27" t="s">
        <v>53</v>
      </c>
      <c r="E27" s="9">
        <f>((R14/1000)+2)*3</f>
        <v>37.200000000000003</v>
      </c>
      <c r="F27" s="10"/>
      <c r="G27">
        <v>113</v>
      </c>
      <c r="H27" s="13">
        <f>E27*G27</f>
        <v>4203.6000000000004</v>
      </c>
      <c r="L27" s="13"/>
      <c r="N27" s="13"/>
      <c r="O27" s="16"/>
      <c r="P27" s="13"/>
      <c r="Q27" s="16"/>
      <c r="R27" s="26"/>
      <c r="S27" s="16"/>
      <c r="T27" s="19"/>
      <c r="U27" s="19"/>
      <c r="V27" s="19"/>
      <c r="W27" s="19"/>
      <c r="X27" s="19"/>
      <c r="Y27" s="19"/>
    </row>
    <row r="28" spans="1:25" x14ac:dyDescent="0.3">
      <c r="A28" s="3">
        <v>7</v>
      </c>
      <c r="B28" t="s">
        <v>79</v>
      </c>
      <c r="C28" t="s">
        <v>54</v>
      </c>
      <c r="D28" t="s">
        <v>60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L28" s="13"/>
      <c r="N28" s="13"/>
      <c r="O28" s="16"/>
      <c r="P28" s="13"/>
      <c r="Q28" s="16"/>
      <c r="R28" s="26"/>
      <c r="S28" s="16"/>
      <c r="T28" s="19"/>
      <c r="U28" s="19"/>
      <c r="V28" s="19"/>
      <c r="W28" s="19"/>
      <c r="X28" s="19"/>
      <c r="Y28" s="19"/>
    </row>
    <row r="29" spans="1:25" x14ac:dyDescent="0.3">
      <c r="A29" s="3">
        <v>8</v>
      </c>
      <c r="B29" t="s">
        <v>14</v>
      </c>
      <c r="E29" s="3">
        <v>1</v>
      </c>
      <c r="G29">
        <v>28000</v>
      </c>
      <c r="H29">
        <f>E29*G29</f>
        <v>28000</v>
      </c>
      <c r="O29" s="16"/>
      <c r="Q29" s="16"/>
      <c r="R29" s="16"/>
      <c r="S29" s="16"/>
      <c r="T29" s="19"/>
      <c r="U29" s="19"/>
      <c r="V29" s="19"/>
      <c r="W29" s="19"/>
      <c r="X29" s="19"/>
      <c r="Y29" s="19"/>
    </row>
    <row r="30" spans="1:25" x14ac:dyDescent="0.3">
      <c r="A30" s="3">
        <v>9</v>
      </c>
      <c r="B30" t="s">
        <v>80</v>
      </c>
      <c r="D30" t="s">
        <v>55</v>
      </c>
      <c r="E30" s="3">
        <f>(R14/1000)*2+2</f>
        <v>22.8</v>
      </c>
      <c r="G30" s="13">
        <f>(E30*77)+4000+1000</f>
        <v>6755.6</v>
      </c>
      <c r="H30" s="13">
        <f>G30</f>
        <v>6755.6</v>
      </c>
      <c r="K30" s="13"/>
      <c r="L30" s="13"/>
      <c r="M30" s="13"/>
      <c r="N30" s="13"/>
      <c r="O30" s="13"/>
      <c r="P30" s="13"/>
      <c r="Q30" s="26"/>
      <c r="R30" s="26"/>
      <c r="S30" s="16"/>
      <c r="T30" s="19"/>
      <c r="U30" s="19"/>
      <c r="V30" s="19"/>
      <c r="W30" s="19"/>
      <c r="X30" s="19"/>
      <c r="Y30" s="19"/>
    </row>
    <row r="31" spans="1:25" x14ac:dyDescent="0.3">
      <c r="A31" s="3">
        <v>10</v>
      </c>
      <c r="B31" t="s">
        <v>81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K31" s="13"/>
      <c r="L31" s="13"/>
      <c r="M31" s="13"/>
      <c r="N31" s="13"/>
      <c r="O31" s="13"/>
      <c r="P31" s="13"/>
      <c r="Q31" s="26"/>
      <c r="R31" s="26"/>
      <c r="S31" s="16"/>
      <c r="T31" s="19"/>
      <c r="U31" s="19"/>
      <c r="V31" s="19"/>
      <c r="W31" s="19"/>
      <c r="X31" s="19"/>
      <c r="Y31" s="19"/>
    </row>
    <row r="32" spans="1:25" x14ac:dyDescent="0.3">
      <c r="A32" s="3">
        <v>11</v>
      </c>
      <c r="B32" t="s">
        <v>82</v>
      </c>
      <c r="E32" s="3">
        <v>1</v>
      </c>
      <c r="G32">
        <v>4500</v>
      </c>
      <c r="H32">
        <f>E32*G32</f>
        <v>4500</v>
      </c>
      <c r="Q32" s="16"/>
      <c r="R32" s="16"/>
      <c r="S32" s="16"/>
      <c r="T32" s="19"/>
      <c r="U32" s="19"/>
      <c r="V32" s="19"/>
      <c r="W32" s="19"/>
      <c r="X32" s="19"/>
      <c r="Y32" s="19"/>
    </row>
    <row r="33" spans="1:25" ht="16.5" customHeight="1" x14ac:dyDescent="0.3">
      <c r="A33" s="3">
        <v>12</v>
      </c>
      <c r="B33" t="s">
        <v>83</v>
      </c>
      <c r="C33" t="s">
        <v>56</v>
      </c>
      <c r="D33" s="14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  <c r="Q33" s="16"/>
      <c r="R33" s="16"/>
      <c r="S33" s="16"/>
      <c r="T33" s="19"/>
      <c r="U33" s="19"/>
      <c r="V33" s="19"/>
      <c r="W33" s="19"/>
      <c r="X33" s="19"/>
      <c r="Y33" s="19"/>
    </row>
    <row r="34" spans="1:25" ht="16.5" customHeight="1" x14ac:dyDescent="0.3">
      <c r="A34" s="3">
        <v>12</v>
      </c>
      <c r="B34" t="s">
        <v>83</v>
      </c>
      <c r="C34" t="s">
        <v>57</v>
      </c>
      <c r="D34" s="14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  <c r="Q34" s="16"/>
      <c r="R34" s="16"/>
      <c r="S34" s="16"/>
      <c r="T34" s="19"/>
      <c r="U34" s="19"/>
      <c r="V34" s="19"/>
      <c r="W34" s="19"/>
      <c r="X34" s="19"/>
      <c r="Y34" s="19"/>
    </row>
    <row r="35" spans="1:25" ht="16.5" customHeight="1" x14ac:dyDescent="0.3">
      <c r="A35" s="3">
        <v>12</v>
      </c>
      <c r="B35" t="s">
        <v>83</v>
      </c>
      <c r="C35" t="s">
        <v>58</v>
      </c>
      <c r="D35" s="14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L35" s="13"/>
      <c r="M35" s="13"/>
      <c r="N35" s="13"/>
      <c r="P35" s="13"/>
      <c r="Q35" s="16"/>
      <c r="R35" s="26"/>
      <c r="S35" s="16"/>
      <c r="T35" s="19"/>
      <c r="U35" s="19"/>
      <c r="V35" s="19"/>
      <c r="W35" s="19"/>
      <c r="X35" s="19"/>
      <c r="Y35" s="19"/>
    </row>
    <row r="36" spans="1:25" ht="16.5" customHeight="1" x14ac:dyDescent="0.3">
      <c r="A36" s="3">
        <v>12</v>
      </c>
      <c r="B36" t="s">
        <v>83</v>
      </c>
      <c r="C36" t="s">
        <v>95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 s="16"/>
      <c r="R36" s="16"/>
      <c r="S36" s="16"/>
      <c r="T36" s="19"/>
      <c r="U36" s="19"/>
      <c r="V36" s="19"/>
      <c r="W36" s="19"/>
      <c r="X36" s="19"/>
      <c r="Y36" s="19"/>
    </row>
    <row r="37" spans="1:25" ht="16.5" customHeight="1" x14ac:dyDescent="0.3">
      <c r="A37" s="3">
        <v>12</v>
      </c>
      <c r="B37" t="s">
        <v>83</v>
      </c>
      <c r="C37" t="s">
        <v>94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 s="16"/>
      <c r="R37" s="16"/>
      <c r="S37" s="16"/>
      <c r="T37" s="19"/>
      <c r="U37" s="19"/>
      <c r="V37" s="19"/>
      <c r="W37" s="19"/>
      <c r="X37" s="19"/>
      <c r="Y37" s="19"/>
    </row>
    <row r="38" spans="1:25" s="7" customFormat="1" x14ac:dyDescent="0.3">
      <c r="A38" s="8">
        <v>13</v>
      </c>
      <c r="B38" s="7" t="s">
        <v>84</v>
      </c>
      <c r="D38" s="7" t="s">
        <v>93</v>
      </c>
      <c r="E38" s="3">
        <v>1</v>
      </c>
      <c r="F38" s="8"/>
      <c r="G38" s="7">
        <v>57016</v>
      </c>
      <c r="H38" s="7">
        <f>E38*G38</f>
        <v>57016</v>
      </c>
      <c r="Q38" s="17"/>
      <c r="R38" s="17"/>
      <c r="S38" s="17"/>
      <c r="T38" s="22"/>
      <c r="U38" s="22"/>
      <c r="V38" s="22"/>
      <c r="W38" s="22"/>
      <c r="X38" s="22"/>
      <c r="Y38" s="22"/>
    </row>
    <row r="39" spans="1:25" s="7" customFormat="1" x14ac:dyDescent="0.3">
      <c r="A39" s="8">
        <v>14</v>
      </c>
      <c r="B39" s="7" t="s">
        <v>85</v>
      </c>
      <c r="D39" s="7" t="s">
        <v>93</v>
      </c>
      <c r="E39" s="8">
        <f>G3</f>
        <v>2</v>
      </c>
      <c r="F39" s="8"/>
      <c r="G39" s="7">
        <f>38191+2000</f>
        <v>40191</v>
      </c>
      <c r="H39" s="7">
        <f>E39*G39</f>
        <v>80382</v>
      </c>
      <c r="Q39" s="17"/>
      <c r="R39" s="17"/>
      <c r="S39" s="17"/>
      <c r="T39" s="22"/>
      <c r="U39" s="22"/>
      <c r="V39" s="22"/>
      <c r="W39" s="22"/>
      <c r="X39" s="22"/>
      <c r="Y39" s="22"/>
    </row>
    <row r="40" spans="1:25" x14ac:dyDescent="0.3">
      <c r="A40" s="3">
        <v>17</v>
      </c>
      <c r="B40" t="s">
        <v>1</v>
      </c>
      <c r="C40" s="7" t="s">
        <v>27</v>
      </c>
      <c r="E40" s="3">
        <v>1</v>
      </c>
      <c r="G40">
        <f>25000</f>
        <v>25000</v>
      </c>
      <c r="H40">
        <f>G40*E40</f>
        <v>25000</v>
      </c>
      <c r="Q40" s="16"/>
      <c r="R40" s="16"/>
      <c r="S40" s="16"/>
      <c r="T40" s="19"/>
      <c r="U40" s="19"/>
      <c r="V40" s="19"/>
      <c r="W40" s="19"/>
      <c r="X40" s="19"/>
      <c r="Y40" s="19"/>
    </row>
    <row r="41" spans="1:25" x14ac:dyDescent="0.3">
      <c r="A41" s="3">
        <v>18</v>
      </c>
      <c r="B41" t="s">
        <v>86</v>
      </c>
      <c r="C41">
        <f>1500+1500+1000+1000</f>
        <v>5000</v>
      </c>
      <c r="D41" t="s">
        <v>91</v>
      </c>
      <c r="E41" s="3">
        <v>1</v>
      </c>
      <c r="G41" s="7">
        <f>5000</f>
        <v>5000</v>
      </c>
      <c r="H41">
        <f>E41*G41</f>
        <v>5000</v>
      </c>
      <c r="Q41" s="16"/>
      <c r="R41" s="16"/>
      <c r="S41" s="16"/>
      <c r="T41" s="19"/>
      <c r="U41" s="19"/>
      <c r="V41" s="19"/>
      <c r="W41" s="19"/>
      <c r="X41" s="19"/>
      <c r="Y41" s="19"/>
    </row>
    <row r="42" spans="1:25" x14ac:dyDescent="0.3">
      <c r="A42" s="3"/>
      <c r="B42" t="s">
        <v>49</v>
      </c>
      <c r="D42">
        <f>2000+1000+2000</f>
        <v>5000</v>
      </c>
      <c r="E42" s="3">
        <v>1</v>
      </c>
      <c r="G42" s="7">
        <f>5000</f>
        <v>5000</v>
      </c>
      <c r="H42">
        <f>G42*E42</f>
        <v>5000</v>
      </c>
      <c r="Q42" s="16"/>
      <c r="R42" s="16"/>
      <c r="S42" s="16"/>
    </row>
    <row r="43" spans="1:25" x14ac:dyDescent="0.3">
      <c r="A43" s="3">
        <v>19</v>
      </c>
      <c r="B43" t="s">
        <v>87</v>
      </c>
      <c r="E43" s="3">
        <v>1</v>
      </c>
      <c r="G43">
        <v>7500</v>
      </c>
      <c r="H43">
        <f>E43*G43</f>
        <v>7500</v>
      </c>
      <c r="Q43" s="16"/>
      <c r="R43" s="16"/>
      <c r="S43" s="16"/>
    </row>
    <row r="44" spans="1:25" x14ac:dyDescent="0.3">
      <c r="A44" s="3"/>
      <c r="D44" t="s">
        <v>9</v>
      </c>
      <c r="H44" s="13">
        <f>SUM(H16:H43)</f>
        <v>518472.49999999994</v>
      </c>
      <c r="L44" s="13"/>
      <c r="N44" s="13"/>
      <c r="P44" s="13"/>
      <c r="Q44" s="16"/>
      <c r="R44" s="26"/>
      <c r="S44" s="16"/>
    </row>
    <row r="45" spans="1:25" x14ac:dyDescent="0.3">
      <c r="A45" s="3">
        <v>20</v>
      </c>
      <c r="B45" t="s">
        <v>61</v>
      </c>
      <c r="D45" t="s">
        <v>62</v>
      </c>
      <c r="E45" s="3">
        <f>G3</f>
        <v>2</v>
      </c>
      <c r="G45" s="7">
        <v>12000</v>
      </c>
      <c r="H45">
        <f>E45*G45</f>
        <v>24000</v>
      </c>
      <c r="Q45" s="16"/>
      <c r="R45" s="16"/>
      <c r="S45" s="16"/>
    </row>
    <row r="46" spans="1:25" x14ac:dyDescent="0.3">
      <c r="A46" s="3">
        <v>21</v>
      </c>
      <c r="B46" t="s">
        <v>88</v>
      </c>
      <c r="E46" s="3">
        <v>1</v>
      </c>
      <c r="G46">
        <v>12000</v>
      </c>
      <c r="H46">
        <f>E46*G46</f>
        <v>12000</v>
      </c>
      <c r="Q46" s="16"/>
      <c r="R46" s="16"/>
      <c r="S46" s="16"/>
    </row>
    <row r="47" spans="1:25" x14ac:dyDescent="0.3">
      <c r="A47" s="3">
        <v>22</v>
      </c>
      <c r="B47" t="s">
        <v>89</v>
      </c>
      <c r="E47" s="3">
        <v>1</v>
      </c>
      <c r="G47" s="13">
        <f>H44*5%</f>
        <v>25923.625</v>
      </c>
      <c r="H47" s="13">
        <f>E47*G47</f>
        <v>25923.625</v>
      </c>
      <c r="K47" s="13"/>
      <c r="L47" s="13"/>
      <c r="M47" s="13"/>
      <c r="N47" s="13"/>
      <c r="O47" s="13"/>
      <c r="P47" s="13"/>
      <c r="Q47" s="26"/>
      <c r="R47" s="26"/>
      <c r="S47" s="16"/>
    </row>
    <row r="48" spans="1:25" x14ac:dyDescent="0.3">
      <c r="D48" t="s">
        <v>9</v>
      </c>
      <c r="H48" s="13">
        <f>H44+H45+H46+H47</f>
        <v>580396.125</v>
      </c>
      <c r="L48" s="13"/>
      <c r="N48" s="13"/>
      <c r="P48" s="13"/>
      <c r="Q48" s="16"/>
      <c r="R48" s="26"/>
      <c r="S48" s="16"/>
    </row>
    <row r="49" spans="2:19" x14ac:dyDescent="0.3">
      <c r="B49" t="s">
        <v>2</v>
      </c>
      <c r="E49" s="27">
        <v>0.2</v>
      </c>
      <c r="H49" s="13">
        <f>H48*20%</f>
        <v>116079.22500000001</v>
      </c>
      <c r="L49" s="13"/>
      <c r="N49" s="13"/>
      <c r="P49" s="13"/>
      <c r="Q49" s="16"/>
      <c r="R49" s="26"/>
      <c r="S49" s="16"/>
    </row>
    <row r="50" spans="2:19" x14ac:dyDescent="0.3">
      <c r="B50" t="s">
        <v>3</v>
      </c>
      <c r="H50" s="13">
        <f>H49+H48</f>
        <v>696475.35</v>
      </c>
      <c r="L50" s="13"/>
      <c r="N50" s="13"/>
      <c r="P50" s="13"/>
      <c r="Q50" s="16"/>
      <c r="R50" s="26"/>
      <c r="S50" s="16"/>
    </row>
    <row r="51" spans="2:19" x14ac:dyDescent="0.3">
      <c r="J51" t="s">
        <v>20</v>
      </c>
      <c r="Q51" s="16"/>
      <c r="R51" s="16"/>
      <c r="S51" s="16"/>
    </row>
    <row r="52" spans="2:19" x14ac:dyDescent="0.3">
      <c r="Q52" s="16"/>
      <c r="R52" s="16"/>
      <c r="S52" s="16"/>
    </row>
    <row r="53" spans="2:19" x14ac:dyDescent="0.3">
      <c r="Q53" s="16"/>
      <c r="R53" s="16"/>
      <c r="S53" s="16"/>
    </row>
    <row r="54" spans="2:19" x14ac:dyDescent="0.3">
      <c r="Q54" s="16"/>
      <c r="R54" s="16"/>
    </row>
    <row r="55" spans="2:19" x14ac:dyDescent="0.3">
      <c r="Q55" s="16"/>
      <c r="R55" s="16"/>
    </row>
    <row r="56" spans="2:19" x14ac:dyDescent="0.3">
      <c r="Q56" s="16"/>
      <c r="R56" s="16"/>
    </row>
    <row r="57" spans="2:19" x14ac:dyDescent="0.3">
      <c r="Q57" s="16"/>
      <c r="R57" s="16"/>
    </row>
    <row r="58" spans="2:19" x14ac:dyDescent="0.3">
      <c r="Q58" s="16"/>
      <c r="R58" s="16"/>
    </row>
    <row r="59" spans="2:19" x14ac:dyDescent="0.3">
      <c r="Q59" s="16"/>
      <c r="R59" s="16"/>
    </row>
    <row r="60" spans="2:19" x14ac:dyDescent="0.3">
      <c r="Q60" s="16"/>
      <c r="R60" s="16"/>
    </row>
    <row r="61" spans="2:19" x14ac:dyDescent="0.3">
      <c r="Q61" s="16"/>
      <c r="R61" s="16"/>
    </row>
    <row r="62" spans="2:19" x14ac:dyDescent="0.3">
      <c r="Q62" s="16"/>
      <c r="R62" s="16"/>
    </row>
    <row r="63" spans="2:19" x14ac:dyDescent="0.3">
      <c r="Q63" s="16"/>
      <c r="R63" s="16"/>
    </row>
    <row r="64" spans="2:19" x14ac:dyDescent="0.3">
      <c r="Q64" s="16"/>
      <c r="R64" s="16"/>
    </row>
    <row r="65" spans="17:18" x14ac:dyDescent="0.3">
      <c r="Q65" s="16"/>
      <c r="R65" s="16"/>
    </row>
    <row r="66" spans="17:18" x14ac:dyDescent="0.3">
      <c r="Q66" s="16"/>
      <c r="R66" s="16"/>
    </row>
    <row r="67" spans="17:18" x14ac:dyDescent="0.3">
      <c r="Q67" s="16"/>
      <c r="R67" s="16"/>
    </row>
    <row r="68" spans="17:18" x14ac:dyDescent="0.3">
      <c r="Q68" s="16"/>
      <c r="R68" s="16"/>
    </row>
    <row r="69" spans="17:18" x14ac:dyDescent="0.3">
      <c r="Q69" s="16"/>
      <c r="R69" s="16"/>
    </row>
  </sheetData>
  <mergeCells count="9">
    <mergeCell ref="K14:L14"/>
    <mergeCell ref="M14:N14"/>
    <mergeCell ref="W15:X15"/>
    <mergeCell ref="T22:X22"/>
    <mergeCell ref="Q15:R15"/>
    <mergeCell ref="G15:H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2026-05-30T19:54:37Z</dcterms:modified>
</cp:coreProperties>
</file>