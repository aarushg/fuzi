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40AF3B64-1C7F-473B-95B1-8587A1F282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  <c r="E30" i="3"/>
  <c r="H46" i="3" l="1"/>
  <c r="E45" i="3"/>
  <c r="H43" i="3"/>
  <c r="H42" i="3"/>
  <c r="D42" i="3"/>
  <c r="G41" i="3"/>
  <c r="C41" i="3"/>
  <c r="H40" i="3"/>
  <c r="E39" i="3"/>
  <c r="H38" i="3"/>
  <c r="G37" i="3"/>
  <c r="G36" i="3"/>
  <c r="G35" i="3"/>
  <c r="H35" i="3" s="1"/>
  <c r="G34" i="3"/>
  <c r="H34" i="3" s="1"/>
  <c r="G33" i="3"/>
  <c r="G32" i="3"/>
  <c r="H32" i="3" s="1"/>
  <c r="D31" i="3"/>
  <c r="G31" i="3" s="1"/>
  <c r="H31" i="3" s="1"/>
  <c r="H29" i="3"/>
  <c r="H26" i="3"/>
  <c r="G25" i="3"/>
  <c r="H25" i="3" s="1"/>
  <c r="G23" i="3"/>
  <c r="H23" i="3" s="1"/>
  <c r="G22" i="3"/>
  <c r="H21" i="3"/>
  <c r="H20" i="3"/>
  <c r="H19" i="3"/>
  <c r="H18" i="3"/>
  <c r="H17" i="3"/>
  <c r="G16" i="3"/>
  <c r="R14" i="3"/>
  <c r="J10" i="3"/>
  <c r="J9" i="3"/>
  <c r="J8" i="3"/>
  <c r="J7" i="3"/>
  <c r="J6" i="3"/>
  <c r="J5" i="3"/>
  <c r="J4" i="3"/>
  <c r="G24" i="3" s="1"/>
  <c r="J3" i="3"/>
  <c r="J2" i="3"/>
  <c r="D35" i="3" l="1"/>
  <c r="E17" i="3"/>
  <c r="D33" i="3"/>
  <c r="D34" i="3"/>
  <c r="H37" i="3"/>
  <c r="E16" i="3"/>
  <c r="E28" i="3"/>
  <c r="H28" i="3" s="1"/>
  <c r="H22" i="3"/>
  <c r="H24" i="3"/>
  <c r="H16" i="3"/>
  <c r="E27" i="3"/>
  <c r="H33" i="3"/>
  <c r="H36" i="3"/>
  <c r="H39" i="3"/>
  <c r="H41" i="3"/>
  <c r="H45" i="3"/>
  <c r="H30" i="3" l="1"/>
  <c r="H27" i="3"/>
  <c r="H44" i="3" l="1"/>
  <c r="G47" i="3"/>
  <c r="H47" i="3" s="1"/>
  <c r="H48" i="3" s="1"/>
  <c r="H49" i="3" l="1"/>
  <c r="H50" i="3" s="1"/>
</calcChain>
</file>

<file path=xl/sharedStrings.xml><?xml version="1.0" encoding="utf-8"?>
<sst xmlns="http://schemas.openxmlformats.org/spreadsheetml/2006/main" count="118" uniqueCount="96">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</sst>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1" fontId="0" fillId="0" borderId="0" xfId="0" applyNumberFormat="1" applyFill="1"/>
    <xf numFmtId="0" fontId="1" fillId="0" borderId="0" xfId="0" applyFont="1" applyFill="1"/>
    <xf numFmtId="0" fontId="0" fillId="0" borderId="0" xfId="0" applyFill="1" applyBorder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5"/>
  <sheetViews>
    <sheetView tabSelected="1" topLeftCell="A8" workbookViewId="0">
      <selection activeCell="E50" sqref="E5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5" x14ac:dyDescent="0.3">
      <c r="H1" s="3" t="s">
        <v>0</v>
      </c>
      <c r="I1" s="3" t="s">
        <v>63</v>
      </c>
      <c r="J1" s="3" t="s">
        <v>72</v>
      </c>
      <c r="Q1" s="2" t="s">
        <v>31</v>
      </c>
      <c r="R1" s="2">
        <v>1600</v>
      </c>
      <c r="S1" t="s">
        <v>20</v>
      </c>
      <c r="T1" s="21"/>
      <c r="U1" s="21"/>
      <c r="V1" s="21"/>
      <c r="W1" s="21"/>
      <c r="X1" s="21"/>
      <c r="Y1" s="21"/>
    </row>
    <row r="2" spans="1:25" x14ac:dyDescent="0.3">
      <c r="B2" t="s">
        <v>64</v>
      </c>
      <c r="E2" s="4" t="s">
        <v>20</v>
      </c>
      <c r="G2" s="4">
        <v>6</v>
      </c>
      <c r="H2" s="3" t="s">
        <v>15</v>
      </c>
      <c r="I2" s="6">
        <v>2</v>
      </c>
      <c r="J2" s="3">
        <f>7500+500+1550+2450+2000</f>
        <v>14000</v>
      </c>
      <c r="Q2" s="2" t="s">
        <v>32</v>
      </c>
      <c r="R2" s="2">
        <v>0</v>
      </c>
      <c r="T2" s="22"/>
      <c r="U2" s="21"/>
      <c r="V2" s="22"/>
      <c r="W2" s="21"/>
      <c r="X2" s="21"/>
      <c r="Y2" s="21"/>
    </row>
    <row r="3" spans="1:25" x14ac:dyDescent="0.3">
      <c r="B3" t="s">
        <v>63</v>
      </c>
      <c r="E3" s="4" t="s">
        <v>20</v>
      </c>
      <c r="G3" s="5">
        <v>4</v>
      </c>
      <c r="H3" s="3" t="s">
        <v>5</v>
      </c>
      <c r="I3" s="6">
        <v>3</v>
      </c>
      <c r="J3" s="3">
        <f>7850+750+1550+2450+1850+2000</f>
        <v>16450</v>
      </c>
      <c r="Q3" s="2" t="s">
        <v>33</v>
      </c>
      <c r="R3" s="2">
        <v>3800</v>
      </c>
      <c r="T3" s="22"/>
      <c r="U3" s="21"/>
      <c r="V3" s="22"/>
      <c r="W3" s="21"/>
      <c r="X3" s="21"/>
      <c r="Y3" s="21"/>
    </row>
    <row r="4" spans="1:25" x14ac:dyDescent="0.3">
      <c r="B4" t="s">
        <v>65</v>
      </c>
      <c r="E4" s="4">
        <v>0.65</v>
      </c>
      <c r="G4" s="4"/>
      <c r="H4" s="3" t="s">
        <v>6</v>
      </c>
      <c r="I4" s="6">
        <v>4</v>
      </c>
      <c r="J4" s="3">
        <f>8200+1000+1550+2450+1850*2+2000</f>
        <v>18900</v>
      </c>
      <c r="Q4" s="2" t="s">
        <v>34</v>
      </c>
      <c r="R4" s="2">
        <v>3800</v>
      </c>
      <c r="T4" s="22"/>
      <c r="U4" s="21"/>
      <c r="V4" s="22"/>
      <c r="W4" s="21"/>
      <c r="X4" s="21"/>
      <c r="Y4" s="21"/>
    </row>
    <row r="5" spans="1:25" x14ac:dyDescent="0.3">
      <c r="B5" t="s">
        <v>66</v>
      </c>
      <c r="E5" s="4" t="s">
        <v>23</v>
      </c>
      <c r="H5" s="3" t="s">
        <v>7</v>
      </c>
      <c r="I5" s="6">
        <v>5</v>
      </c>
      <c r="J5" s="3">
        <f>8550+1250+1550+2450+1850*3+2000</f>
        <v>21350</v>
      </c>
      <c r="Q5" s="2" t="s">
        <v>35</v>
      </c>
      <c r="R5" s="2">
        <v>3900</v>
      </c>
      <c r="T5" s="22"/>
      <c r="U5" s="21"/>
      <c r="V5" s="22"/>
      <c r="W5" s="21"/>
      <c r="X5" s="21"/>
      <c r="Y5" s="21"/>
    </row>
    <row r="6" spans="1:25" x14ac:dyDescent="0.3">
      <c r="B6" t="s">
        <v>67</v>
      </c>
      <c r="E6" s="4" t="s">
        <v>27</v>
      </c>
      <c r="H6" s="3" t="s">
        <v>8</v>
      </c>
      <c r="I6" s="6">
        <v>6</v>
      </c>
      <c r="J6" s="3">
        <f>8900+1500+1550+2450+1850*4+2000</f>
        <v>23800</v>
      </c>
      <c r="Q6" s="2" t="s">
        <v>36</v>
      </c>
      <c r="R6" s="2">
        <v>0</v>
      </c>
      <c r="T6" s="22"/>
      <c r="U6" s="21"/>
      <c r="V6" s="22"/>
      <c r="W6" s="21"/>
      <c r="X6" s="21"/>
      <c r="Y6" s="21"/>
    </row>
    <row r="7" spans="1:25" x14ac:dyDescent="0.3">
      <c r="B7" t="s">
        <v>68</v>
      </c>
      <c r="E7" s="4" t="s">
        <v>27</v>
      </c>
      <c r="H7" s="3" t="s">
        <v>16</v>
      </c>
      <c r="I7" s="6">
        <v>7</v>
      </c>
      <c r="J7" s="3">
        <f>9250+1750+1550+2450+1850*5+2000</f>
        <v>26250</v>
      </c>
      <c r="Q7" s="2" t="s">
        <v>37</v>
      </c>
      <c r="R7" s="2">
        <v>0</v>
      </c>
      <c r="T7" s="21"/>
      <c r="U7" s="21"/>
      <c r="V7" s="21"/>
      <c r="W7" s="21"/>
      <c r="X7" s="21"/>
      <c r="Y7" s="21"/>
    </row>
    <row r="8" spans="1:25" x14ac:dyDescent="0.3">
      <c r="B8" t="s">
        <v>69</v>
      </c>
      <c r="E8" s="4" t="s">
        <v>24</v>
      </c>
      <c r="H8" s="3" t="s">
        <v>17</v>
      </c>
      <c r="I8" s="6">
        <v>8</v>
      </c>
      <c r="J8" s="3">
        <f>9600+2000+1550+2450+1850*6+2000</f>
        <v>28700</v>
      </c>
      <c r="Q8" s="2" t="s">
        <v>38</v>
      </c>
      <c r="R8" s="2">
        <v>0</v>
      </c>
      <c r="T8" s="22"/>
      <c r="U8" s="21"/>
      <c r="V8" s="22"/>
      <c r="W8" s="21"/>
      <c r="X8" s="21"/>
      <c r="Y8" s="21"/>
    </row>
    <row r="9" spans="1:25" x14ac:dyDescent="0.3">
      <c r="B9" t="s">
        <v>70</v>
      </c>
      <c r="D9" t="s">
        <v>20</v>
      </c>
      <c r="E9" s="4" t="s">
        <v>22</v>
      </c>
      <c r="H9" s="3" t="s">
        <v>18</v>
      </c>
      <c r="I9" s="6">
        <v>9</v>
      </c>
      <c r="J9" s="3">
        <f>9950+2250+1550+2450+1850*7+2000</f>
        <v>31150</v>
      </c>
      <c r="Q9" s="2" t="s">
        <v>39</v>
      </c>
      <c r="R9" s="2">
        <v>0</v>
      </c>
      <c r="T9" s="23"/>
      <c r="U9" s="21"/>
      <c r="V9" s="22"/>
      <c r="W9" s="21"/>
      <c r="X9" s="21"/>
      <c r="Y9" s="21"/>
    </row>
    <row r="10" spans="1:25" x14ac:dyDescent="0.3">
      <c r="B10" t="s">
        <v>71</v>
      </c>
      <c r="D10" t="s">
        <v>20</v>
      </c>
      <c r="E10" s="4" t="s">
        <v>25</v>
      </c>
      <c r="H10" s="3" t="s">
        <v>19</v>
      </c>
      <c r="I10" s="6">
        <v>10</v>
      </c>
      <c r="J10" s="3">
        <f>10300+2500+1550+2450+1850*8+2000</f>
        <v>33600</v>
      </c>
      <c r="K10" s="7"/>
      <c r="Q10" s="2" t="s">
        <v>40</v>
      </c>
      <c r="R10" s="2">
        <v>0</v>
      </c>
      <c r="T10" s="21"/>
      <c r="U10" s="21"/>
      <c r="V10" s="22"/>
      <c r="W10" s="21"/>
      <c r="X10" s="21"/>
      <c r="Y10" s="21"/>
    </row>
    <row r="11" spans="1:25" x14ac:dyDescent="0.3">
      <c r="D11" t="s">
        <v>20</v>
      </c>
      <c r="K11" s="7"/>
      <c r="Q11" s="2" t="s">
        <v>41</v>
      </c>
      <c r="R11" s="2">
        <v>0</v>
      </c>
      <c r="T11" s="21"/>
      <c r="U11" s="21"/>
      <c r="V11" s="22"/>
      <c r="W11" s="21"/>
      <c r="X11" s="21"/>
      <c r="Y11" s="21"/>
    </row>
    <row r="12" spans="1:25" x14ac:dyDescent="0.3">
      <c r="K12" s="7"/>
      <c r="Q12" s="2" t="s">
        <v>42</v>
      </c>
      <c r="R12" s="2">
        <v>0</v>
      </c>
      <c r="T12" s="21"/>
      <c r="U12" s="21"/>
      <c r="V12" s="22"/>
      <c r="W12" s="21"/>
      <c r="X12" s="21"/>
      <c r="Y12" s="21"/>
    </row>
    <row r="13" spans="1:25" x14ac:dyDescent="0.3">
      <c r="K13" s="7"/>
      <c r="Q13" s="2" t="s">
        <v>43</v>
      </c>
      <c r="R13" s="2">
        <v>4800</v>
      </c>
      <c r="T13" s="21"/>
      <c r="U13" s="21"/>
      <c r="V13" s="22"/>
      <c r="W13" s="21"/>
      <c r="X13" s="21"/>
      <c r="Y13" s="21"/>
    </row>
    <row r="14" spans="1:25" x14ac:dyDescent="0.3">
      <c r="K14" s="32"/>
      <c r="L14" s="32"/>
      <c r="M14" s="32"/>
      <c r="N14" s="32"/>
      <c r="Q14" s="2" t="s">
        <v>44</v>
      </c>
      <c r="R14" s="2">
        <f>SUM(R1:R13)</f>
        <v>17900</v>
      </c>
      <c r="T14" s="21"/>
      <c r="U14" s="21"/>
      <c r="V14" s="22"/>
      <c r="W14" s="21"/>
      <c r="X14" s="21"/>
      <c r="Y14" s="21"/>
    </row>
    <row r="15" spans="1:25" s="8" customFormat="1" x14ac:dyDescent="0.3">
      <c r="A15" s="8" t="s">
        <v>13</v>
      </c>
      <c r="B15" s="8" t="s">
        <v>12</v>
      </c>
      <c r="D15" s="8" t="s">
        <v>11</v>
      </c>
      <c r="E15" s="9" t="s">
        <v>4</v>
      </c>
      <c r="F15" s="9" t="s">
        <v>30</v>
      </c>
      <c r="G15" s="20" t="s">
        <v>10</v>
      </c>
      <c r="H15" s="20"/>
      <c r="I15" s="28"/>
      <c r="J15" s="28"/>
      <c r="K15" s="28"/>
      <c r="L15" s="28"/>
      <c r="M15" s="28"/>
      <c r="N15" s="28"/>
      <c r="O15" s="28"/>
      <c r="P15" s="28"/>
      <c r="Q15" s="28"/>
      <c r="R15" s="28"/>
      <c r="T15" s="24"/>
      <c r="U15" s="24"/>
      <c r="V15" s="25"/>
      <c r="W15" s="26"/>
      <c r="X15" s="26"/>
      <c r="Y15" s="24"/>
    </row>
    <row r="16" spans="1:25" x14ac:dyDescent="0.3">
      <c r="A16" s="4">
        <v>1</v>
      </c>
      <c r="B16" t="s">
        <v>73</v>
      </c>
      <c r="C16" t="s">
        <v>90</v>
      </c>
      <c r="D16" t="s">
        <v>29</v>
      </c>
      <c r="E16" s="12">
        <f>(R14/5000)*2</f>
        <v>7.16</v>
      </c>
      <c r="F16" s="12">
        <v>8</v>
      </c>
      <c r="G16" s="13">
        <f>4800+200</f>
        <v>5000</v>
      </c>
      <c r="H16" s="14">
        <f>G16*F16</f>
        <v>40000</v>
      </c>
      <c r="I16" s="29"/>
      <c r="J16" s="30"/>
      <c r="K16" s="29"/>
      <c r="L16" s="30"/>
      <c r="M16" s="29"/>
      <c r="N16" s="30"/>
      <c r="O16" s="29"/>
      <c r="P16" s="30"/>
      <c r="Q16" s="29"/>
      <c r="R16" s="30"/>
      <c r="T16" s="21"/>
      <c r="U16" s="21"/>
      <c r="V16" s="22"/>
      <c r="W16" s="21"/>
      <c r="X16" s="21"/>
      <c r="Y16" s="21"/>
    </row>
    <row r="17" spans="1:25" x14ac:dyDescent="0.3">
      <c r="A17" s="4">
        <v>2</v>
      </c>
      <c r="B17" t="s">
        <v>47</v>
      </c>
      <c r="C17" t="s">
        <v>46</v>
      </c>
      <c r="D17" t="s">
        <v>45</v>
      </c>
      <c r="E17" s="12">
        <f>((R14-900)/2000)+2</f>
        <v>10.5</v>
      </c>
      <c r="F17" s="5">
        <v>11</v>
      </c>
      <c r="G17" s="17">
        <v>950</v>
      </c>
      <c r="H17" s="14">
        <f>G17*F17</f>
        <v>10450</v>
      </c>
      <c r="I17" s="29"/>
      <c r="J17" s="30"/>
      <c r="K17" s="29"/>
      <c r="L17" s="30"/>
      <c r="M17" s="29"/>
      <c r="N17" s="30"/>
      <c r="O17" s="29"/>
      <c r="P17" s="29"/>
      <c r="Q17" s="29"/>
      <c r="R17" s="29"/>
      <c r="T17" s="21"/>
      <c r="U17" s="21"/>
      <c r="V17" s="22"/>
      <c r="W17" s="21"/>
      <c r="X17" s="21"/>
      <c r="Y17" s="21"/>
    </row>
    <row r="18" spans="1:25" x14ac:dyDescent="0.3">
      <c r="A18" s="4">
        <v>3</v>
      </c>
      <c r="B18" t="s">
        <v>74</v>
      </c>
      <c r="C18" t="s">
        <v>48</v>
      </c>
      <c r="E18" s="4">
        <v>1</v>
      </c>
      <c r="G18">
        <v>45000</v>
      </c>
      <c r="H18">
        <f t="shared" ref="H18:H43" si="0">G18*E18</f>
        <v>45000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t="s">
        <v>20</v>
      </c>
      <c r="T18" s="21"/>
      <c r="U18" s="21"/>
      <c r="V18" s="22"/>
      <c r="W18" s="21"/>
      <c r="X18" s="21"/>
      <c r="Y18" s="21"/>
    </row>
    <row r="19" spans="1:25" x14ac:dyDescent="0.3">
      <c r="A19" s="4" t="s">
        <v>20</v>
      </c>
      <c r="B19" t="s">
        <v>75</v>
      </c>
      <c r="E19" s="4">
        <v>1</v>
      </c>
      <c r="G19">
        <v>4000</v>
      </c>
      <c r="H19">
        <f>G19*E19</f>
        <v>4000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T19" s="21"/>
      <c r="U19" s="21"/>
      <c r="V19" s="21"/>
      <c r="W19" s="21"/>
      <c r="X19" s="21"/>
      <c r="Y19" s="21"/>
    </row>
    <row r="20" spans="1:25" x14ac:dyDescent="0.3">
      <c r="A20" s="4"/>
      <c r="B20" t="s">
        <v>59</v>
      </c>
      <c r="E20" s="4">
        <v>1</v>
      </c>
      <c r="G20">
        <v>2500</v>
      </c>
      <c r="H20">
        <f>G20*E20</f>
        <v>2500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T20" s="21"/>
      <c r="U20" s="21"/>
      <c r="V20" s="21"/>
      <c r="W20" s="21"/>
      <c r="X20" s="21"/>
      <c r="Y20" s="21"/>
    </row>
    <row r="21" spans="1:25" x14ac:dyDescent="0.3">
      <c r="A21" s="4"/>
      <c r="B21" t="s">
        <v>92</v>
      </c>
      <c r="E21" s="4">
        <v>1</v>
      </c>
      <c r="G21" s="13">
        <v>6000</v>
      </c>
      <c r="H21">
        <f>G21*E21</f>
        <v>6000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T21" s="21"/>
      <c r="U21" s="21"/>
      <c r="V21" s="21"/>
      <c r="W21" s="21"/>
      <c r="X21" s="21"/>
      <c r="Y21" s="21"/>
    </row>
    <row r="22" spans="1:25" x14ac:dyDescent="0.3">
      <c r="A22" s="4">
        <v>4</v>
      </c>
      <c r="B22" t="s">
        <v>76</v>
      </c>
      <c r="D22" t="s">
        <v>51</v>
      </c>
      <c r="E22" s="4">
        <v>1</v>
      </c>
      <c r="G22">
        <f>37500+1500</f>
        <v>39000</v>
      </c>
      <c r="H22">
        <f t="shared" si="0"/>
        <v>39000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T22" s="27"/>
      <c r="U22" s="27"/>
      <c r="V22" s="27"/>
      <c r="W22" s="27"/>
      <c r="X22" s="27"/>
      <c r="Y22" s="21"/>
    </row>
    <row r="23" spans="1:25" x14ac:dyDescent="0.3">
      <c r="A23" s="4">
        <v>5</v>
      </c>
      <c r="B23" t="s">
        <v>21</v>
      </c>
      <c r="E23" s="4">
        <v>1</v>
      </c>
      <c r="G23">
        <f>12500+500</f>
        <v>13000</v>
      </c>
      <c r="H23">
        <f t="shared" si="0"/>
        <v>13000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T23" s="21"/>
      <c r="U23" s="21"/>
      <c r="V23" s="21"/>
      <c r="W23" s="21"/>
      <c r="X23" s="21"/>
      <c r="Y23" s="21"/>
    </row>
    <row r="24" spans="1:25" x14ac:dyDescent="0.3">
      <c r="A24" s="4">
        <v>5</v>
      </c>
      <c r="B24" t="s">
        <v>0</v>
      </c>
      <c r="E24" s="4">
        <v>1</v>
      </c>
      <c r="G24" s="1">
        <f>VLOOKUP(G3,I1:J10,2,0)+3000</f>
        <v>21900</v>
      </c>
      <c r="H24">
        <f t="shared" si="0"/>
        <v>21900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T24" s="21"/>
      <c r="U24" s="21"/>
      <c r="V24" s="21"/>
      <c r="W24" s="21"/>
      <c r="X24" s="21"/>
      <c r="Y24" s="21"/>
    </row>
    <row r="25" spans="1:25" x14ac:dyDescent="0.3">
      <c r="A25" s="4">
        <v>16</v>
      </c>
      <c r="B25" t="s">
        <v>77</v>
      </c>
      <c r="D25" t="s">
        <v>28</v>
      </c>
      <c r="E25" s="4">
        <v>1</v>
      </c>
      <c r="G25" s="18">
        <f>62000+2000+2500</f>
        <v>66500</v>
      </c>
      <c r="H25">
        <f>G25*E25</f>
        <v>66500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T25" s="21"/>
      <c r="U25" s="21"/>
      <c r="V25" s="21"/>
      <c r="W25" s="21"/>
      <c r="X25" s="21"/>
      <c r="Y25" s="21"/>
    </row>
    <row r="26" spans="1:25" x14ac:dyDescent="0.3">
      <c r="A26" s="4"/>
      <c r="B26" t="s">
        <v>50</v>
      </c>
      <c r="E26" s="4">
        <v>1</v>
      </c>
      <c r="G26">
        <v>2500</v>
      </c>
      <c r="H26">
        <f>G26*E26</f>
        <v>2500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T26" s="21"/>
      <c r="U26" s="21"/>
      <c r="V26" s="21"/>
      <c r="W26" s="21"/>
      <c r="X26" s="21"/>
      <c r="Y26" s="21"/>
    </row>
    <row r="27" spans="1:25" x14ac:dyDescent="0.3">
      <c r="A27" s="4">
        <v>6</v>
      </c>
      <c r="B27" t="s">
        <v>78</v>
      </c>
      <c r="C27" t="s">
        <v>52</v>
      </c>
      <c r="D27" t="s">
        <v>53</v>
      </c>
      <c r="E27" s="10">
        <f>((R14/1000)+2)*3</f>
        <v>59.699999999999996</v>
      </c>
      <c r="F27" s="11"/>
      <c r="G27" s="13">
        <v>113</v>
      </c>
      <c r="H27" s="14">
        <f>G27*E27</f>
        <v>6746.0999999999995</v>
      </c>
      <c r="I27" s="29"/>
      <c r="J27" s="30"/>
      <c r="K27" s="29"/>
      <c r="L27" s="30"/>
      <c r="M27" s="29"/>
      <c r="N27" s="30"/>
      <c r="O27" s="29"/>
      <c r="P27" s="30"/>
      <c r="Q27" s="29"/>
      <c r="R27" s="30"/>
      <c r="T27" s="21"/>
      <c r="U27" s="21"/>
      <c r="V27" s="21"/>
      <c r="W27" s="21"/>
      <c r="X27" s="21"/>
      <c r="Y27" s="21"/>
    </row>
    <row r="28" spans="1:25" x14ac:dyDescent="0.3">
      <c r="A28" s="4">
        <v>7</v>
      </c>
      <c r="B28" t="s">
        <v>79</v>
      </c>
      <c r="C28" t="s">
        <v>54</v>
      </c>
      <c r="D28" t="s">
        <v>60</v>
      </c>
      <c r="E28" s="10">
        <f>((R14+3000+3000)/1000)*4</f>
        <v>95.6</v>
      </c>
      <c r="F28" s="11"/>
      <c r="G28" s="13">
        <v>128</v>
      </c>
      <c r="H28" s="14">
        <f>G28*E28</f>
        <v>12236.8</v>
      </c>
      <c r="I28" s="29"/>
      <c r="J28" s="30"/>
      <c r="K28" s="29"/>
      <c r="L28" s="30"/>
      <c r="M28" s="29"/>
      <c r="N28" s="30"/>
      <c r="O28" s="29"/>
      <c r="P28" s="30"/>
      <c r="Q28" s="29"/>
      <c r="R28" s="30"/>
      <c r="T28" s="21"/>
      <c r="U28" s="21"/>
      <c r="V28" s="21"/>
      <c r="W28" s="21"/>
      <c r="X28" s="21"/>
      <c r="Y28" s="21"/>
    </row>
    <row r="29" spans="1:25" x14ac:dyDescent="0.3">
      <c r="A29" s="4">
        <v>8</v>
      </c>
      <c r="B29" t="s">
        <v>14</v>
      </c>
      <c r="E29" s="4">
        <v>1</v>
      </c>
      <c r="G29" s="13">
        <v>28000</v>
      </c>
      <c r="H29">
        <f t="shared" si="0"/>
        <v>28000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T29" s="21"/>
      <c r="U29" s="21"/>
      <c r="V29" s="21"/>
      <c r="W29" s="21"/>
      <c r="X29" s="21"/>
      <c r="Y29" s="21"/>
    </row>
    <row r="30" spans="1:25" x14ac:dyDescent="0.3">
      <c r="A30" s="4">
        <v>9</v>
      </c>
      <c r="B30" t="s">
        <v>80</v>
      </c>
      <c r="D30" t="s">
        <v>55</v>
      </c>
      <c r="E30" s="4">
        <f>((((R14/1000)*2)+2)*4)/4</f>
        <v>37.799999999999997</v>
      </c>
      <c r="G30" s="14">
        <f>(E30*77)+4000+1000</f>
        <v>7910.6</v>
      </c>
      <c r="H30" s="14">
        <f>G30</f>
        <v>7910.6</v>
      </c>
      <c r="I30" s="30"/>
      <c r="J30" s="30"/>
      <c r="K30" s="30"/>
      <c r="L30" s="30"/>
      <c r="M30" s="30"/>
      <c r="N30" s="30"/>
      <c r="O30" s="30"/>
      <c r="P30" s="30"/>
      <c r="Q30" s="30"/>
      <c r="R30" s="30"/>
      <c r="T30" s="21"/>
      <c r="U30" s="21"/>
      <c r="V30" s="21"/>
      <c r="W30" s="21"/>
      <c r="X30" s="21"/>
      <c r="Y30" s="21"/>
    </row>
    <row r="31" spans="1:25" x14ac:dyDescent="0.3">
      <c r="A31" s="4">
        <v>10</v>
      </c>
      <c r="B31" t="s">
        <v>81</v>
      </c>
      <c r="D31" s="14">
        <f>15.5*38*(15.5+2)</f>
        <v>10307.5</v>
      </c>
      <c r="E31" s="4">
        <v>1</v>
      </c>
      <c r="G31" s="14">
        <f>D31</f>
        <v>10307.5</v>
      </c>
      <c r="H31" s="14">
        <f t="shared" si="0"/>
        <v>10307.5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t="s">
        <v>20</v>
      </c>
      <c r="T31" s="21"/>
      <c r="U31" s="21"/>
      <c r="V31" s="21"/>
      <c r="W31" s="21"/>
      <c r="X31" s="21"/>
      <c r="Y31" s="21"/>
    </row>
    <row r="32" spans="1:25" x14ac:dyDescent="0.3">
      <c r="A32" s="4">
        <v>11</v>
      </c>
      <c r="B32" t="s">
        <v>82</v>
      </c>
      <c r="E32" s="4">
        <v>1</v>
      </c>
      <c r="G32" s="13">
        <f>4500</f>
        <v>4500</v>
      </c>
      <c r="H32">
        <f t="shared" si="0"/>
        <v>4500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T32" s="21"/>
      <c r="U32" s="21"/>
      <c r="V32" s="21"/>
      <c r="W32" s="21"/>
      <c r="X32" s="21"/>
      <c r="Y32" s="21"/>
    </row>
    <row r="33" spans="1:25" ht="16.5" customHeight="1" x14ac:dyDescent="0.3">
      <c r="A33" s="4">
        <v>12</v>
      </c>
      <c r="B33" t="s">
        <v>83</v>
      </c>
      <c r="C33" t="s">
        <v>56</v>
      </c>
      <c r="D33" s="19">
        <f>R14/1000+10+10</f>
        <v>37.9</v>
      </c>
      <c r="E33" s="4">
        <v>1</v>
      </c>
      <c r="F33" s="5">
        <v>38</v>
      </c>
      <c r="G33" s="16">
        <f>50+2</f>
        <v>52</v>
      </c>
      <c r="H33" s="14">
        <f>G33*F33</f>
        <v>1976</v>
      </c>
      <c r="I33" s="29"/>
      <c r="J33" s="29"/>
      <c r="K33" s="29"/>
      <c r="L33" s="29"/>
      <c r="M33" s="29"/>
      <c r="N33" s="29"/>
      <c r="O33" s="29"/>
      <c r="P33" s="29"/>
      <c r="Q33" s="29"/>
      <c r="R33" s="29"/>
      <c r="T33" s="21"/>
      <c r="U33" s="21"/>
      <c r="V33" s="21"/>
      <c r="W33" s="21"/>
      <c r="X33" s="21"/>
      <c r="Y33" s="21"/>
    </row>
    <row r="34" spans="1:25" ht="16.5" customHeight="1" x14ac:dyDescent="0.3">
      <c r="A34" s="4">
        <v>12</v>
      </c>
      <c r="B34" t="s">
        <v>83</v>
      </c>
      <c r="C34" t="s">
        <v>57</v>
      </c>
      <c r="D34" s="19">
        <f>(R14/1000)+G3*3+13</f>
        <v>42.9</v>
      </c>
      <c r="E34" s="4">
        <v>1</v>
      </c>
      <c r="F34" s="5">
        <v>43</v>
      </c>
      <c r="G34">
        <f>67+2</f>
        <v>69</v>
      </c>
      <c r="H34" s="14">
        <f t="shared" ref="H34:H36" si="1">G34*F34</f>
        <v>2967</v>
      </c>
      <c r="I34" s="29"/>
      <c r="J34" s="29"/>
      <c r="K34" s="29"/>
      <c r="L34" s="29"/>
      <c r="M34" s="29"/>
      <c r="N34" s="29"/>
      <c r="O34" s="29"/>
      <c r="P34" s="29"/>
      <c r="Q34" s="29"/>
      <c r="R34" s="29"/>
      <c r="T34" s="21"/>
      <c r="U34" s="21"/>
      <c r="V34" s="21"/>
      <c r="W34" s="21"/>
      <c r="X34" s="21"/>
      <c r="Y34" s="21"/>
    </row>
    <row r="35" spans="1:25" ht="16.5" customHeight="1" x14ac:dyDescent="0.3">
      <c r="A35" s="4">
        <v>12</v>
      </c>
      <c r="B35" t="s">
        <v>83</v>
      </c>
      <c r="C35" t="s">
        <v>58</v>
      </c>
      <c r="D35" s="19">
        <f>((R14/1000)+5)+G3*2+(R14/1000*8)</f>
        <v>174.1</v>
      </c>
      <c r="E35" s="4">
        <v>1</v>
      </c>
      <c r="F35" s="5">
        <v>175</v>
      </c>
      <c r="G35">
        <f>20+3</f>
        <v>23</v>
      </c>
      <c r="H35" s="14">
        <f t="shared" si="1"/>
        <v>4025</v>
      </c>
      <c r="I35" s="29"/>
      <c r="J35" s="30"/>
      <c r="K35" s="29"/>
      <c r="L35" s="30"/>
      <c r="M35" s="30"/>
      <c r="N35" s="30"/>
      <c r="O35" s="29"/>
      <c r="P35" s="30"/>
      <c r="Q35" s="29"/>
      <c r="R35" s="30"/>
      <c r="T35" s="21"/>
      <c r="U35" s="21"/>
      <c r="V35" s="21"/>
      <c r="W35" s="21"/>
      <c r="X35" s="21"/>
      <c r="Y35" s="21"/>
    </row>
    <row r="36" spans="1:25" ht="16.5" customHeight="1" x14ac:dyDescent="0.3">
      <c r="A36" s="4">
        <v>12</v>
      </c>
      <c r="B36" t="s">
        <v>83</v>
      </c>
      <c r="C36" t="s">
        <v>95</v>
      </c>
      <c r="D36" s="19">
        <v>50</v>
      </c>
      <c r="E36" s="4">
        <v>1</v>
      </c>
      <c r="F36" s="5">
        <v>50</v>
      </c>
      <c r="G36">
        <f>35+2.2</f>
        <v>37.200000000000003</v>
      </c>
      <c r="H36" s="14">
        <f t="shared" si="1"/>
        <v>1860.0000000000002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T36" s="21"/>
      <c r="U36" s="21"/>
      <c r="V36" s="21"/>
      <c r="W36" s="21"/>
      <c r="X36" s="21"/>
      <c r="Y36" s="21"/>
    </row>
    <row r="37" spans="1:25" ht="16.5" customHeight="1" x14ac:dyDescent="0.3">
      <c r="A37" s="4">
        <v>12</v>
      </c>
      <c r="B37" t="s">
        <v>83</v>
      </c>
      <c r="C37" t="s">
        <v>94</v>
      </c>
      <c r="D37" s="19">
        <v>50</v>
      </c>
      <c r="E37" s="4">
        <v>1</v>
      </c>
      <c r="F37" s="5">
        <v>50</v>
      </c>
      <c r="G37">
        <f>25+2</f>
        <v>27</v>
      </c>
      <c r="H37" s="14">
        <f>G37*F37</f>
        <v>1350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T37" s="21"/>
      <c r="U37" s="21"/>
      <c r="V37" s="21"/>
      <c r="W37" s="21"/>
      <c r="X37" s="21"/>
      <c r="Y37" s="21"/>
    </row>
    <row r="38" spans="1:25" s="8" customFormat="1" x14ac:dyDescent="0.3">
      <c r="A38" s="9">
        <v>13</v>
      </c>
      <c r="B38" s="8" t="s">
        <v>84</v>
      </c>
      <c r="D38" s="8" t="s">
        <v>93</v>
      </c>
      <c r="E38" s="4">
        <v>1</v>
      </c>
      <c r="F38" s="9"/>
      <c r="G38" s="15">
        <v>43245</v>
      </c>
      <c r="H38" s="8">
        <f t="shared" si="0"/>
        <v>43245</v>
      </c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8" t="s">
        <v>20</v>
      </c>
      <c r="T38" s="24"/>
      <c r="U38" s="24"/>
      <c r="V38" s="24"/>
      <c r="W38" s="24"/>
      <c r="X38" s="24"/>
      <c r="Y38" s="24"/>
    </row>
    <row r="39" spans="1:25" s="8" customFormat="1" x14ac:dyDescent="0.3">
      <c r="A39" s="9">
        <v>14</v>
      </c>
      <c r="B39" s="8" t="s">
        <v>85</v>
      </c>
      <c r="D39" s="8" t="s">
        <v>93</v>
      </c>
      <c r="E39" s="9">
        <f>G3</f>
        <v>4</v>
      </c>
      <c r="F39" s="9"/>
      <c r="G39" s="15">
        <v>17880</v>
      </c>
      <c r="H39" s="8">
        <f t="shared" si="0"/>
        <v>71520</v>
      </c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8" t="s">
        <v>20</v>
      </c>
      <c r="T39" s="24"/>
      <c r="U39" s="24"/>
      <c r="V39" s="24"/>
      <c r="W39" s="24"/>
      <c r="X39" s="24"/>
      <c r="Y39" s="24"/>
    </row>
    <row r="40" spans="1:25" x14ac:dyDescent="0.3">
      <c r="A40" s="4">
        <v>17</v>
      </c>
      <c r="B40" t="s">
        <v>1</v>
      </c>
      <c r="C40" s="8" t="s">
        <v>26</v>
      </c>
      <c r="E40" s="4">
        <v>1</v>
      </c>
      <c r="G40">
        <v>25000</v>
      </c>
      <c r="H40">
        <f t="shared" si="0"/>
        <v>25000</v>
      </c>
      <c r="I40" s="29"/>
      <c r="J40" s="29"/>
      <c r="K40" s="29"/>
      <c r="L40" s="29"/>
      <c r="M40" s="29"/>
      <c r="N40" s="29"/>
      <c r="O40" s="29"/>
      <c r="P40" s="29"/>
      <c r="Q40" s="29"/>
      <c r="R40" s="29"/>
      <c r="T40" s="21"/>
      <c r="U40" s="21"/>
      <c r="V40" s="21"/>
      <c r="W40" s="21"/>
      <c r="X40" s="21"/>
      <c r="Y40" s="21"/>
    </row>
    <row r="41" spans="1:25" x14ac:dyDescent="0.3">
      <c r="A41" s="4">
        <v>18</v>
      </c>
      <c r="B41" t="s">
        <v>86</v>
      </c>
      <c r="C41">
        <f>1500+1500+1000+1000</f>
        <v>5000</v>
      </c>
      <c r="D41" t="s">
        <v>91</v>
      </c>
      <c r="E41" s="4">
        <v>1</v>
      </c>
      <c r="G41">
        <f>5000</f>
        <v>5000</v>
      </c>
      <c r="H41">
        <f t="shared" si="0"/>
        <v>5000</v>
      </c>
      <c r="I41" s="31"/>
      <c r="J41" s="29"/>
      <c r="K41" s="29"/>
      <c r="L41" s="29"/>
      <c r="M41" s="29"/>
      <c r="N41" s="29"/>
      <c r="O41" s="29"/>
      <c r="P41" s="29"/>
      <c r="Q41" s="29"/>
      <c r="R41" s="29"/>
      <c r="T41" s="21"/>
      <c r="U41" s="21"/>
      <c r="V41" s="21"/>
      <c r="W41" s="21"/>
      <c r="X41" s="21"/>
      <c r="Y41" s="21"/>
    </row>
    <row r="42" spans="1:25" x14ac:dyDescent="0.3">
      <c r="A42" s="4"/>
      <c r="B42" t="s">
        <v>49</v>
      </c>
      <c r="D42">
        <f>2000+1000+2000</f>
        <v>5000</v>
      </c>
      <c r="E42" s="4">
        <v>1</v>
      </c>
      <c r="G42">
        <v>5000</v>
      </c>
      <c r="H42">
        <f>G42*E42</f>
        <v>5000</v>
      </c>
      <c r="I42" s="31"/>
      <c r="J42" s="29"/>
      <c r="K42" s="29"/>
      <c r="L42" s="29"/>
      <c r="M42" s="29"/>
      <c r="N42" s="29"/>
      <c r="O42" s="29"/>
      <c r="P42" s="29"/>
      <c r="Q42" s="29"/>
      <c r="R42" s="29"/>
    </row>
    <row r="43" spans="1:25" x14ac:dyDescent="0.3">
      <c r="A43" s="4">
        <v>19</v>
      </c>
      <c r="B43" t="s">
        <v>87</v>
      </c>
      <c r="E43" s="4">
        <v>1</v>
      </c>
      <c r="G43">
        <v>7500</v>
      </c>
      <c r="H43">
        <f t="shared" si="0"/>
        <v>7500</v>
      </c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spans="1:25" x14ac:dyDescent="0.3">
      <c r="A44" s="4"/>
      <c r="D44" t="s">
        <v>9</v>
      </c>
      <c r="H44" s="14">
        <f>SUM(H16:H43)</f>
        <v>489994</v>
      </c>
      <c r="I44" s="29"/>
      <c r="J44" s="30"/>
      <c r="K44" s="29"/>
      <c r="L44" s="30"/>
      <c r="M44" s="29"/>
      <c r="N44" s="30"/>
      <c r="O44" s="29"/>
      <c r="P44" s="30"/>
      <c r="Q44" s="29"/>
      <c r="R44" s="30"/>
    </row>
    <row r="45" spans="1:25" x14ac:dyDescent="0.3">
      <c r="A45" s="4">
        <v>20</v>
      </c>
      <c r="B45" t="s">
        <v>61</v>
      </c>
      <c r="D45" t="s">
        <v>62</v>
      </c>
      <c r="E45" s="4">
        <f>G3</f>
        <v>4</v>
      </c>
      <c r="G45" s="13">
        <v>12000</v>
      </c>
      <c r="H45">
        <f>G45*E45</f>
        <v>48000</v>
      </c>
      <c r="I45" s="31"/>
      <c r="J45" s="29"/>
      <c r="K45" s="29"/>
      <c r="L45" s="29"/>
      <c r="M45" s="29"/>
      <c r="N45" s="29"/>
      <c r="O45" s="29"/>
      <c r="P45" s="29"/>
      <c r="Q45" s="29"/>
      <c r="R45" s="29"/>
    </row>
    <row r="46" spans="1:25" x14ac:dyDescent="0.3">
      <c r="A46" s="4">
        <v>21</v>
      </c>
      <c r="B46" t="s">
        <v>88</v>
      </c>
      <c r="E46" s="4">
        <v>1</v>
      </c>
      <c r="G46">
        <v>12000</v>
      </c>
      <c r="H46">
        <f>G46*E46</f>
        <v>12000</v>
      </c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spans="1:25" x14ac:dyDescent="0.3">
      <c r="A47" s="4">
        <v>22</v>
      </c>
      <c r="B47" t="s">
        <v>89</v>
      </c>
      <c r="E47" s="4">
        <v>1</v>
      </c>
      <c r="G47" s="14">
        <f>H44*5%</f>
        <v>24499.7</v>
      </c>
      <c r="H47" s="14">
        <f>G47*E47</f>
        <v>24499.7</v>
      </c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1:25" x14ac:dyDescent="0.3">
      <c r="D48" t="s">
        <v>9</v>
      </c>
      <c r="H48" s="14">
        <f>H44+H45+H46+H47</f>
        <v>574493.69999999995</v>
      </c>
      <c r="I48" s="29"/>
      <c r="J48" s="30"/>
      <c r="K48" s="29"/>
      <c r="L48" s="30"/>
      <c r="M48" s="29"/>
      <c r="N48" s="30"/>
      <c r="O48" s="29"/>
      <c r="P48" s="30"/>
      <c r="Q48" s="29"/>
      <c r="R48" s="30"/>
    </row>
    <row r="49" spans="2:18" x14ac:dyDescent="0.3">
      <c r="B49" t="s">
        <v>2</v>
      </c>
      <c r="E49" s="33">
        <v>0.2</v>
      </c>
      <c r="H49" s="14">
        <f>H48*20%</f>
        <v>114898.73999999999</v>
      </c>
      <c r="I49" s="29"/>
      <c r="J49" s="30"/>
      <c r="K49" s="29"/>
      <c r="L49" s="30"/>
      <c r="M49" s="29"/>
      <c r="N49" s="30"/>
      <c r="O49" s="29"/>
      <c r="P49" s="30"/>
      <c r="Q49" s="29"/>
      <c r="R49" s="30"/>
    </row>
    <row r="50" spans="2:18" x14ac:dyDescent="0.3">
      <c r="B50" t="s">
        <v>3</v>
      </c>
      <c r="H50" s="14">
        <f>H49+H48</f>
        <v>689392.44</v>
      </c>
      <c r="I50" s="29"/>
      <c r="J50" s="30"/>
      <c r="K50" s="29"/>
      <c r="L50" s="30"/>
      <c r="M50" s="29"/>
      <c r="N50" s="30"/>
      <c r="O50" s="29"/>
      <c r="P50" s="30"/>
      <c r="Q50" s="29"/>
      <c r="R50" s="30"/>
    </row>
    <row r="51" spans="2:18" x14ac:dyDescent="0.3">
      <c r="J51" t="s">
        <v>20</v>
      </c>
      <c r="K51" t="s">
        <v>20</v>
      </c>
      <c r="Q51" s="29"/>
      <c r="R51" s="29" t="s">
        <v>20</v>
      </c>
    </row>
    <row r="52" spans="2:18" x14ac:dyDescent="0.3">
      <c r="Q52" s="29"/>
      <c r="R52" s="29"/>
    </row>
    <row r="53" spans="2:18" x14ac:dyDescent="0.3">
      <c r="Q53" s="29"/>
      <c r="R53" s="29"/>
    </row>
    <row r="54" spans="2:18" x14ac:dyDescent="0.3">
      <c r="Q54" s="29"/>
      <c r="R54" s="29"/>
    </row>
    <row r="55" spans="2:18" x14ac:dyDescent="0.3">
      <c r="Q55" s="29"/>
      <c r="R55" s="29"/>
    </row>
    <row r="56" spans="2:18" x14ac:dyDescent="0.3">
      <c r="Q56" s="29"/>
      <c r="R56" s="29"/>
    </row>
    <row r="57" spans="2:18" x14ac:dyDescent="0.3">
      <c r="Q57" s="29"/>
      <c r="R57" s="29"/>
    </row>
    <row r="58" spans="2:18" x14ac:dyDescent="0.3">
      <c r="Q58" s="29"/>
      <c r="R58" s="29"/>
    </row>
    <row r="59" spans="2:18" x14ac:dyDescent="0.3">
      <c r="Q59" s="29"/>
      <c r="R59" s="29"/>
    </row>
    <row r="60" spans="2:18" x14ac:dyDescent="0.3">
      <c r="Q60" s="29"/>
      <c r="R60" s="29"/>
    </row>
    <row r="61" spans="2:18" x14ac:dyDescent="0.3">
      <c r="Q61" s="29"/>
      <c r="R61" s="29"/>
    </row>
    <row r="62" spans="2:18" x14ac:dyDescent="0.3">
      <c r="Q62" s="29"/>
      <c r="R62" s="29"/>
    </row>
    <row r="63" spans="2:18" x14ac:dyDescent="0.3">
      <c r="Q63" s="29"/>
      <c r="R63" s="29"/>
    </row>
    <row r="64" spans="2:18" x14ac:dyDescent="0.3">
      <c r="Q64" s="29"/>
      <c r="R64" s="29"/>
    </row>
    <row r="65" spans="17:18" x14ac:dyDescent="0.3">
      <c r="Q65" s="29"/>
      <c r="R65" s="29"/>
    </row>
    <row r="66" spans="17:18" x14ac:dyDescent="0.3">
      <c r="Q66" s="29"/>
      <c r="R66" s="29"/>
    </row>
    <row r="67" spans="17:18" x14ac:dyDescent="0.3">
      <c r="Q67" s="29"/>
      <c r="R67" s="29"/>
    </row>
    <row r="68" spans="17:18" x14ac:dyDescent="0.3">
      <c r="Q68" s="29"/>
      <c r="R68" s="29"/>
    </row>
    <row r="69" spans="17:18" x14ac:dyDescent="0.3">
      <c r="Q69" s="29"/>
      <c r="R69" s="29"/>
    </row>
    <row r="70" spans="17:18" x14ac:dyDescent="0.3">
      <c r="Q70" s="29"/>
      <c r="R70" s="29"/>
    </row>
    <row r="71" spans="17:18" x14ac:dyDescent="0.3">
      <c r="Q71" s="29"/>
      <c r="R71" s="29"/>
    </row>
    <row r="72" spans="17:18" x14ac:dyDescent="0.3">
      <c r="Q72" s="29"/>
      <c r="R72" s="29"/>
    </row>
    <row r="73" spans="17:18" x14ac:dyDescent="0.3">
      <c r="Q73" s="29"/>
      <c r="R73" s="29"/>
    </row>
    <row r="74" spans="17:18" x14ac:dyDescent="0.3">
      <c r="Q74" s="29"/>
      <c r="R74" s="29"/>
    </row>
    <row r="75" spans="17:18" x14ac:dyDescent="0.3">
      <c r="Q75" s="29"/>
      <c r="R75" s="29"/>
    </row>
    <row r="76" spans="17:18" x14ac:dyDescent="0.3">
      <c r="Q76" s="29"/>
      <c r="R76" s="29"/>
    </row>
    <row r="77" spans="17:18" x14ac:dyDescent="0.3">
      <c r="Q77" s="29"/>
      <c r="R77" s="29"/>
    </row>
    <row r="78" spans="17:18" x14ac:dyDescent="0.3">
      <c r="Q78" s="29"/>
      <c r="R78" s="29"/>
    </row>
    <row r="79" spans="17:18" x14ac:dyDescent="0.3">
      <c r="Q79" s="29"/>
      <c r="R79" s="29"/>
    </row>
    <row r="80" spans="17:18" x14ac:dyDescent="0.3">
      <c r="Q80" s="29"/>
      <c r="R80" s="29"/>
    </row>
    <row r="81" spans="17:18" x14ac:dyDescent="0.3">
      <c r="Q81" s="29"/>
      <c r="R81" s="29"/>
    </row>
    <row r="82" spans="17:18" x14ac:dyDescent="0.3">
      <c r="Q82" s="29"/>
      <c r="R82" s="29"/>
    </row>
    <row r="83" spans="17:18" x14ac:dyDescent="0.3">
      <c r="Q83" s="29"/>
      <c r="R83" s="29"/>
    </row>
    <row r="84" spans="17:18" x14ac:dyDescent="0.3">
      <c r="Q84" s="29"/>
      <c r="R84" s="29"/>
    </row>
    <row r="85" spans="17:18" x14ac:dyDescent="0.3">
      <c r="Q85" s="29"/>
      <c r="R85" s="29"/>
    </row>
    <row r="86" spans="17:18" x14ac:dyDescent="0.3">
      <c r="Q86" s="29"/>
      <c r="R86" s="29"/>
    </row>
    <row r="87" spans="17:18" x14ac:dyDescent="0.3">
      <c r="Q87" s="29"/>
      <c r="R87" s="29"/>
    </row>
    <row r="88" spans="17:18" x14ac:dyDescent="0.3">
      <c r="Q88" s="29"/>
      <c r="R88" s="29"/>
    </row>
    <row r="89" spans="17:18" x14ac:dyDescent="0.3">
      <c r="Q89" s="29"/>
      <c r="R89" s="29"/>
    </row>
    <row r="90" spans="17:18" x14ac:dyDescent="0.3">
      <c r="Q90" s="29"/>
      <c r="R90" s="29"/>
    </row>
    <row r="91" spans="17:18" x14ac:dyDescent="0.3">
      <c r="Q91" s="29"/>
      <c r="R91" s="29"/>
    </row>
    <row r="92" spans="17:18" x14ac:dyDescent="0.3">
      <c r="Q92" s="29"/>
      <c r="R92" s="29"/>
    </row>
    <row r="93" spans="17:18" x14ac:dyDescent="0.3">
      <c r="Q93" s="29"/>
      <c r="R93" s="29"/>
    </row>
    <row r="94" spans="17:18" x14ac:dyDescent="0.3">
      <c r="Q94" s="29"/>
      <c r="R94" s="29"/>
    </row>
    <row r="95" spans="17:18" x14ac:dyDescent="0.3">
      <c r="Q95" s="29"/>
      <c r="R95" s="29"/>
    </row>
    <row r="96" spans="17:18" x14ac:dyDescent="0.3">
      <c r="Q96" s="29"/>
      <c r="R96" s="29"/>
    </row>
    <row r="97" spans="17:18" x14ac:dyDescent="0.3">
      <c r="Q97" s="29"/>
      <c r="R97" s="29"/>
    </row>
    <row r="98" spans="17:18" x14ac:dyDescent="0.3">
      <c r="Q98" s="29"/>
      <c r="R98" s="29"/>
    </row>
    <row r="99" spans="17:18" x14ac:dyDescent="0.3">
      <c r="Q99" s="29"/>
      <c r="R99" s="29"/>
    </row>
    <row r="100" spans="17:18" x14ac:dyDescent="0.3">
      <c r="Q100" s="29"/>
      <c r="R100" s="29"/>
    </row>
    <row r="101" spans="17:18" x14ac:dyDescent="0.3">
      <c r="Q101" s="29"/>
      <c r="R101" s="29"/>
    </row>
    <row r="102" spans="17:18" x14ac:dyDescent="0.3">
      <c r="Q102" s="29"/>
      <c r="R102" s="29"/>
    </row>
    <row r="103" spans="17:18" x14ac:dyDescent="0.3">
      <c r="Q103" s="29"/>
      <c r="R103" s="29"/>
    </row>
    <row r="104" spans="17:18" x14ac:dyDescent="0.3">
      <c r="Q104" s="29"/>
      <c r="R104" s="29"/>
    </row>
    <row r="105" spans="17:18" x14ac:dyDescent="0.3">
      <c r="Q105" s="29"/>
      <c r="R105" s="29"/>
    </row>
    <row r="106" spans="17:18" x14ac:dyDescent="0.3">
      <c r="Q106" s="29"/>
      <c r="R106" s="29"/>
    </row>
    <row r="107" spans="17:18" x14ac:dyDescent="0.3">
      <c r="Q107" s="29"/>
      <c r="R107" s="29"/>
    </row>
    <row r="108" spans="17:18" x14ac:dyDescent="0.3">
      <c r="Q108" s="29"/>
      <c r="R108" s="29"/>
    </row>
    <row r="109" spans="17:18" x14ac:dyDescent="0.3">
      <c r="Q109" s="29"/>
      <c r="R109" s="29"/>
    </row>
    <row r="110" spans="17:18" x14ac:dyDescent="0.3">
      <c r="Q110" s="29"/>
      <c r="R110" s="29"/>
    </row>
    <row r="111" spans="17:18" x14ac:dyDescent="0.3">
      <c r="Q111" s="29"/>
      <c r="R111" s="29"/>
    </row>
    <row r="112" spans="17:18" x14ac:dyDescent="0.3">
      <c r="Q112" s="29"/>
      <c r="R112" s="29"/>
    </row>
    <row r="113" spans="17:18" x14ac:dyDescent="0.3">
      <c r="Q113" s="29"/>
      <c r="R113" s="29"/>
    </row>
    <row r="114" spans="17:18" x14ac:dyDescent="0.3">
      <c r="Q114" s="29"/>
      <c r="R114" s="29"/>
    </row>
    <row r="115" spans="17:18" x14ac:dyDescent="0.3">
      <c r="Q115" s="29"/>
      <c r="R115" s="29"/>
    </row>
  </sheetData>
  <mergeCells count="10">
    <mergeCell ref="K14:L14"/>
    <mergeCell ref="M14:N14"/>
    <mergeCell ref="W15:X15"/>
    <mergeCell ref="T22:X22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2026-05-30T12:55:51Z</dcterms:modified>
</cp:coreProperties>
</file>