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4E28C5D3-E471-494F-B9EB-1D30081C89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3" l="1"/>
  <c r="E45" i="3"/>
  <c r="H43" i="3"/>
  <c r="H42" i="3"/>
  <c r="D42" i="3"/>
  <c r="G41" i="3"/>
  <c r="C41" i="3"/>
  <c r="H40" i="3"/>
  <c r="E39" i="3"/>
  <c r="H38" i="3"/>
  <c r="G37" i="3"/>
  <c r="G36" i="3"/>
  <c r="G35" i="3"/>
  <c r="H35" i="3" s="1"/>
  <c r="G34" i="3"/>
  <c r="H34" i="3" s="1"/>
  <c r="G33" i="3"/>
  <c r="G32" i="3"/>
  <c r="H32" i="3" s="1"/>
  <c r="D31" i="3"/>
  <c r="G31" i="3" s="1"/>
  <c r="H31" i="3" s="1"/>
  <c r="H29" i="3"/>
  <c r="H26" i="3"/>
  <c r="G25" i="3"/>
  <c r="H25" i="3" s="1"/>
  <c r="G23" i="3"/>
  <c r="H23" i="3" s="1"/>
  <c r="G22" i="3"/>
  <c r="H21" i="3"/>
  <c r="H20" i="3"/>
  <c r="H19" i="3"/>
  <c r="H18" i="3"/>
  <c r="H17" i="3"/>
  <c r="G16" i="3"/>
  <c r="R14" i="3"/>
  <c r="E30" i="3" s="1"/>
  <c r="G30" i="3" s="1"/>
  <c r="J10" i="3"/>
  <c r="J9" i="3"/>
  <c r="J8" i="3"/>
  <c r="J7" i="3"/>
  <c r="J6" i="3"/>
  <c r="J5" i="3"/>
  <c r="J4" i="3"/>
  <c r="G24" i="3" s="1"/>
  <c r="J3" i="3"/>
  <c r="J2" i="3"/>
  <c r="D35" i="3" l="1"/>
  <c r="E17" i="3"/>
  <c r="D33" i="3"/>
  <c r="D34" i="3"/>
  <c r="H37" i="3"/>
  <c r="E16" i="3"/>
  <c r="E28" i="3"/>
  <c r="H28" i="3" s="1"/>
  <c r="H22" i="3"/>
  <c r="H24" i="3"/>
  <c r="H16" i="3"/>
  <c r="E27" i="3"/>
  <c r="H33" i="3"/>
  <c r="H36" i="3"/>
  <c r="H39" i="3"/>
  <c r="H41" i="3"/>
  <c r="H45" i="3"/>
  <c r="H30" i="3" l="1"/>
  <c r="H27" i="3"/>
  <c r="H44" i="3" l="1"/>
  <c r="G47" i="3" s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<sst xmlns="http://schemas.openxmlformats.org/spreadsheetml/2006/main" count="118" uniqueCount="96">
  <si>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</si>
  <si>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</si>
  <si>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</si>
  <si>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</si>
  <si>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</si>
  <si>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</si>
  <si>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</si>
  <si>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</si>
  <si>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</si>
  <si>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</si>
  <si>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</si>
  <si>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</si>
  <si>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</si>
  <si>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</si>
  <si>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</si>
  <si>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</si>
  <si>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</si>
  <si>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</si>
  <si>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</si>
  <si>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</si>
  <si>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</si>
  <si>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</si>
  <si>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</si>
  <si>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</si>
  <si>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</si>
  <si>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</si>
  <si>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</si>
  <si>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</si>
  <si>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</si>
  <si>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</si>
  <si>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</si>
  <si>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</si>
  <si>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</si>
  <si>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</si>
  <si>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</si>
  <si>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</si>
  <si>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</si>
  <si>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</si>
  <si>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</si>
  <si>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</si>
  <si>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</si>
  <si>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</si>
  <si>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</si>
  <si>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</si>
  <si>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</si>
  <si>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</si>
  <si>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</si>
  <si>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</si>
  <si>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</si>
  <si>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</si>
  <si>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</si>
  <si>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</si>
  <si>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</si>
  <si>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</si>
  <si>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</si>
  <si>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</si>
  <si>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</si>
  <si>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</si>
  <si>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</si>
  <si>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</si>
  <si>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</si>
  <si>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</si>
  <si>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</si>
  <si>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</si>
  <si>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</si>
  <si>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</si>
  <si>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</si>
  <si>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</si>
  <si>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</si>
  <si>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</si>
  <si>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</si>
  <si>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</si>
  <si>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</si>
  <si>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</si>
  <si>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</si>
  <si>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</si>
  <si>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</si>
  <si>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</si>
  <si>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</si>
  <si>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</si>
  <si>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</si>
  <si>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</si>
  <si>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</si>
  <si>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</si>
  <si>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</si>
  <si>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</si>
  <si>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</si>
  <si>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</si>
  <si>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</si>
  <si>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</si>
  <si>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</si>
  <si>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</si>
  <si>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</si>
  <si>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</si>
  <si>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</si>
  <si>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Geared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</si>
</sst>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5"/>
  <sheetViews>
    <sheetView tabSelected="1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62</v>
      </c>
      <c r="J1" s="3" t="s">
        <v>71</v>
      </c>
      <c r="Q1" s="2" t="s">
        <v>30</v>
      </c>
      <c r="R1" s="2">
        <v>1600</v>
      </c>
      <c r="S1" t="s">
        <v>19</v>
      </c>
    </row>
    <row r="2" spans="1:24" x14ac:dyDescent="0.3">
      <c r="B2" t="s">
        <v>63</v>
      </c>
      <c r="E2" s="4" t="s">
        <v>19</v>
      </c>
      <c r="G2" s="4">
        <v>6</v>
      </c>
      <c r="H2" s="3" t="s">
        <v>14</v>
      </c>
      <c r="I2" s="6">
        <v>2</v>
      </c>
      <c r="J2" s="3">
        <f>7500+500+1550+2450+2000</f>
        <v>14000</v>
      </c>
      <c r="Q2" s="2" t="s">
        <v>31</v>
      </c>
      <c r="R2" s="2">
        <v>0</v>
      </c>
      <c r="T2" s="4"/>
      <c r="V2" s="4"/>
    </row>
    <row r="3" spans="1:24" x14ac:dyDescent="0.3">
      <c r="B3" t="s">
        <v>62</v>
      </c>
      <c r="E3" s="4" t="s">
        <v>19</v>
      </c>
      <c r="G3" s="5">
        <v>2</v>
      </c>
      <c r="H3" s="3" t="s">
        <v>5</v>
      </c>
      <c r="I3" s="6">
        <v>3</v>
      </c>
      <c r="J3" s="3">
        <f>7850+750+1550+2450+1850+2000</f>
        <v>16450</v>
      </c>
      <c r="Q3" s="2" t="s">
        <v>32</v>
      </c>
      <c r="R3" s="2">
        <v>4000</v>
      </c>
      <c r="T3" s="4"/>
      <c r="V3" s="4"/>
    </row>
    <row r="4" spans="1:24" x14ac:dyDescent="0.3">
      <c r="B4" t="s">
        <v>64</v>
      </c>
      <c r="E4" s="4">
        <v>1</v>
      </c>
      <c r="G4" s="4"/>
      <c r="H4" s="3" t="s">
        <v>6</v>
      </c>
      <c r="I4" s="6">
        <v>4</v>
      </c>
      <c r="J4" s="3">
        <f>8200+1000+1550+2450+1850*2+2000</f>
        <v>18900</v>
      </c>
      <c r="Q4" s="2" t="s">
        <v>33</v>
      </c>
      <c r="R4" s="2">
        <v>0</v>
      </c>
      <c r="T4" s="4"/>
      <c r="V4" s="4"/>
    </row>
    <row r="5" spans="1:24" x14ac:dyDescent="0.3">
      <c r="B5" t="s">
        <v>65</v>
      </c>
      <c r="E5" s="4" t="s">
        <v>22</v>
      </c>
      <c r="H5" s="3" t="s">
        <v>7</v>
      </c>
      <c r="I5" s="6">
        <v>5</v>
      </c>
      <c r="J5" s="3">
        <f>8550+1250+1550+2450+1850*3+2000</f>
        <v>21350</v>
      </c>
      <c r="Q5" s="2" t="s">
        <v>34</v>
      </c>
      <c r="R5" s="2">
        <v>0</v>
      </c>
      <c r="T5" s="4"/>
      <c r="V5" s="4"/>
    </row>
    <row r="6" spans="1:24" x14ac:dyDescent="0.3">
      <c r="B6" t="s">
        <v>66</v>
      </c>
      <c r="E6" s="4" t="s">
        <v>26</v>
      </c>
      <c r="H6" s="3" t="s">
        <v>8</v>
      </c>
      <c r="I6" s="6">
        <v>6</v>
      </c>
      <c r="J6" s="3">
        <f>8900+1500+1550+2450+1850*4+2000</f>
        <v>23800</v>
      </c>
      <c r="Q6" s="2" t="s">
        <v>35</v>
      </c>
      <c r="R6" s="2">
        <v>0</v>
      </c>
      <c r="T6" s="4"/>
      <c r="V6" s="4"/>
    </row>
    <row r="7" spans="1:24" x14ac:dyDescent="0.3">
      <c r="B7" t="s">
        <v>67</v>
      </c>
      <c r="E7" s="4" t="s">
        <v>26</v>
      </c>
      <c r="H7" s="3" t="s">
        <v>15</v>
      </c>
      <c r="I7" s="6">
        <v>7</v>
      </c>
      <c r="J7" s="3">
        <f>9250+1750+1550+2450+1850*5+2000</f>
        <v>26250</v>
      </c>
      <c r="Q7" s="2" t="s">
        <v>36</v>
      </c>
      <c r="R7" s="2">
        <v>0</v>
      </c>
    </row>
    <row r="8" spans="1:24" x14ac:dyDescent="0.3">
      <c r="B8" t="s">
        <v>68</v>
      </c>
      <c r="E8" s="4" t="s">
        <v>23</v>
      </c>
      <c r="H8" s="3" t="s">
        <v>16</v>
      </c>
      <c r="I8" s="6">
        <v>8</v>
      </c>
      <c r="J8" s="3">
        <f>9600+2000+1550+2450+1850*6+2000</f>
        <v>28700</v>
      </c>
      <c r="Q8" s="2" t="s">
        <v>37</v>
      </c>
      <c r="R8" s="2">
        <v>0</v>
      </c>
      <c r="T8" s="4"/>
      <c r="V8" s="4"/>
    </row>
    <row r="9" spans="1:24" x14ac:dyDescent="0.3">
      <c r="B9" t="s">
        <v>69</v>
      </c>
      <c r="D9" t="s">
        <v>19</v>
      </c>
      <c r="E9" s="4" t="s">
        <v>21</v>
      </c>
      <c r="H9" s="3" t="s">
        <v>17</v>
      </c>
      <c r="I9" s="6">
        <v>9</v>
      </c>
      <c r="J9" s="3">
        <f>9950+2250+1550+2450+1850*7+2000</f>
        <v>31150</v>
      </c>
      <c r="Q9" s="2" t="s">
        <v>38</v>
      </c>
      <c r="R9" s="2">
        <v>0</v>
      </c>
      <c r="T9" s="7"/>
      <c r="V9" s="4"/>
    </row>
    <row r="10" spans="1:24" x14ac:dyDescent="0.3">
      <c r="B10" t="s">
        <v>70</v>
      </c>
      <c r="D10" t="s">
        <v>19</v>
      </c>
      <c r="E10" s="4" t="s">
        <v>24</v>
      </c>
      <c r="H10" s="3" t="s">
        <v>18</v>
      </c>
      <c r="I10" s="6">
        <v>10</v>
      </c>
      <c r="J10" s="3">
        <f>10300+2500+1550+2450+1850*8+2000</f>
        <v>33600</v>
      </c>
      <c r="K10" s="7"/>
      <c r="Q10" s="2" t="s">
        <v>39</v>
      </c>
      <c r="R10" s="2">
        <v>0</v>
      </c>
      <c r="V10" s="4"/>
    </row>
    <row r="11" spans="1:24" x14ac:dyDescent="0.3">
      <c r="D11" t="s">
        <v>19</v>
      </c>
      <c r="K11" s="7"/>
      <c r="Q11" s="2" t="s">
        <v>40</v>
      </c>
      <c r="R11" s="2">
        <v>0</v>
      </c>
      <c r="V11" s="4"/>
    </row>
    <row r="12" spans="1:24" x14ac:dyDescent="0.3">
      <c r="K12" s="7"/>
      <c r="Q12" s="2" t="s">
        <v>41</v>
      </c>
      <c r="R12" s="2">
        <v>0</v>
      </c>
      <c r="V12" s="4"/>
    </row>
    <row r="13" spans="1:24" x14ac:dyDescent="0.3">
      <c r="K13" s="7"/>
      <c r="Q13" s="2" t="s">
        <v>42</v>
      </c>
      <c r="R13" s="2">
        <v>4800</v>
      </c>
      <c r="V13" s="4"/>
    </row>
    <row r="14" spans="1:24" x14ac:dyDescent="0.3">
      <c r="K14" s="22"/>
      <c r="L14" s="22"/>
      <c r="M14" s="22"/>
      <c r="N14" s="22"/>
      <c r="Q14" s="2" t="s">
        <v>43</v>
      </c>
      <c r="R14" s="2">
        <f>SUM(R1:R13)</f>
        <v>10400</v>
      </c>
      <c r="V14" s="4"/>
    </row>
    <row r="15" spans="1:24" s="8" customFormat="1" x14ac:dyDescent="0.3">
      <c r="A15" s="8" t="s">
        <v>13</v>
      </c>
      <c r="B15" s="8" t="s">
        <v>12</v>
      </c>
      <c r="D15" s="8" t="s">
        <v>11</v>
      </c>
      <c r="E15" s="9" t="s">
        <v>4</v>
      </c>
      <c r="F15" s="9" t="s">
        <v>29</v>
      </c>
      <c r="G15" s="21" t="s">
        <v>10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V15" s="9"/>
      <c r="W15" s="21"/>
      <c r="X15" s="21"/>
    </row>
    <row r="16" spans="1:24" x14ac:dyDescent="0.3">
      <c r="A16" s="4">
        <v>1</v>
      </c>
      <c r="B16" t="s">
        <v>72</v>
      </c>
      <c r="C16" t="s">
        <v>89</v>
      </c>
      <c r="D16" t="s">
        <v>28</v>
      </c>
      <c r="E16" s="12">
        <f>(R14/5000)*2</f>
        <v>4.16</v>
      </c>
      <c r="F16" s="12">
        <v>5</v>
      </c>
      <c r="G16" s="13">
        <f>4800+200</f>
        <v>5000</v>
      </c>
      <c r="H16" s="14">
        <f>G16*F16</f>
        <v>25000</v>
      </c>
      <c r="J16" s="14"/>
      <c r="L16" s="14"/>
      <c r="N16" s="14"/>
      <c r="P16" s="14"/>
      <c r="Q16"/>
      <c r="R16" s="14"/>
      <c r="V16" s="4"/>
    </row>
    <row r="17" spans="1:24" x14ac:dyDescent="0.3">
      <c r="A17" s="4">
        <v>2</v>
      </c>
      <c r="B17" t="s">
        <v>46</v>
      </c>
      <c r="C17" t="s">
        <v>45</v>
      </c>
      <c r="D17" t="s">
        <v>44</v>
      </c>
      <c r="E17" s="12">
        <f>((R14-900)/2000)+2</f>
        <v>6.75</v>
      </c>
      <c r="F17" s="5">
        <v>7</v>
      </c>
      <c r="G17" s="17">
        <v>950</v>
      </c>
      <c r="H17" s="14">
        <f>G17*F17</f>
        <v>6650</v>
      </c>
      <c r="J17" s="14"/>
      <c r="L17" s="14"/>
      <c r="N17" s="14"/>
      <c r="Q17"/>
      <c r="R17"/>
      <c r="V17" s="4"/>
    </row>
    <row r="18" spans="1:24" x14ac:dyDescent="0.3">
      <c r="A18" s="4">
        <v>3</v>
      </c>
      <c r="B18" t="s">
        <v>73</v>
      </c>
      <c r="C18" t="s">
        <v>47</v>
      </c>
      <c r="E18" s="4">
        <v>1</v>
      </c>
      <c r="G18">
        <v>45000</v>
      </c>
      <c r="H18">
        <f t="shared" ref="H18:H43" si="0">G18*E18</f>
        <v>45000</v>
      </c>
      <c r="Q18"/>
      <c r="R18"/>
      <c r="S18" t="s">
        <v>19</v>
      </c>
      <c r="V18" s="4"/>
    </row>
    <row r="19" spans="1:24" x14ac:dyDescent="0.3">
      <c r="A19" s="4" t="s">
        <v>19</v>
      </c>
      <c r="B19" t="s">
        <v>74</v>
      </c>
      <c r="E19" s="4">
        <v>1</v>
      </c>
      <c r="G19">
        <v>4000</v>
      </c>
      <c r="H19">
        <f>G19*E19</f>
        <v>4000</v>
      </c>
      <c r="Q19"/>
      <c r="R19"/>
    </row>
    <row r="20" spans="1:24" x14ac:dyDescent="0.3">
      <c r="A20" s="4"/>
      <c r="B20" t="s">
        <v>58</v>
      </c>
      <c r="E20" s="4">
        <v>1</v>
      </c>
      <c r="G20">
        <v>2500</v>
      </c>
      <c r="H20">
        <f>G20*E20</f>
        <v>2500</v>
      </c>
      <c r="Q20"/>
      <c r="R20"/>
    </row>
    <row r="21" spans="1:24" x14ac:dyDescent="0.3">
      <c r="A21" s="4"/>
      <c r="B21" t="s">
        <v>91</v>
      </c>
      <c r="E21" s="4">
        <v>1</v>
      </c>
      <c r="G21" s="13">
        <v>6000</v>
      </c>
      <c r="H21">
        <f>G21*E21</f>
        <v>6000</v>
      </c>
      <c r="Q21"/>
      <c r="R21"/>
    </row>
    <row r="22" spans="1:24" x14ac:dyDescent="0.3">
      <c r="A22" s="4">
        <v>4</v>
      </c>
      <c r="B22" t="s">
        <v>75</v>
      </c>
      <c r="D22" t="s">
        <v>50</v>
      </c>
      <c r="E22" s="4">
        <v>1</v>
      </c>
      <c r="G22">
        <f>37500+1500</f>
        <v>39000</v>
      </c>
      <c r="H22">
        <f t="shared" si="0"/>
        <v>39000</v>
      </c>
      <c r="Q22"/>
      <c r="R22"/>
      <c r="T22" s="22"/>
      <c r="U22" s="22"/>
      <c r="V22" s="22"/>
      <c r="W22" s="22"/>
      <c r="X22" s="22"/>
    </row>
    <row r="23" spans="1:24" x14ac:dyDescent="0.3">
      <c r="A23" s="4">
        <v>5</v>
      </c>
      <c r="B23" t="s">
        <v>20</v>
      </c>
      <c r="E23" s="4">
        <v>1</v>
      </c>
      <c r="G23">
        <f>12500+500</f>
        <v>13000</v>
      </c>
      <c r="H23">
        <f t="shared" si="0"/>
        <v>13000</v>
      </c>
      <c r="Q23"/>
      <c r="R23"/>
    </row>
    <row r="24" spans="1:24" x14ac:dyDescent="0.3">
      <c r="A24" s="4">
        <v>5</v>
      </c>
      <c r="B24" t="s">
        <v>0</v>
      </c>
      <c r="E24" s="4">
        <v>1</v>
      </c>
      <c r="G24" s="1">
        <f>VLOOKUP(G3,I1:J10,2,0)+3000</f>
        <v>17000</v>
      </c>
      <c r="H24">
        <f t="shared" si="0"/>
        <v>17000</v>
      </c>
      <c r="Q24"/>
      <c r="R24"/>
    </row>
    <row r="25" spans="1:24" x14ac:dyDescent="0.3">
      <c r="A25" s="4">
        <v>16</v>
      </c>
      <c r="B25" t="s">
        <v>76</v>
      </c>
      <c r="D25" t="s">
        <v>27</v>
      </c>
      <c r="E25" s="4">
        <v>1</v>
      </c>
      <c r="G25" s="18">
        <f>62000+2000+2500</f>
        <v>66500</v>
      </c>
      <c r="H25">
        <f>G25*E25</f>
        <v>66500</v>
      </c>
      <c r="Q25"/>
      <c r="R25"/>
    </row>
    <row r="26" spans="1:24" x14ac:dyDescent="0.3">
      <c r="A26" s="4"/>
      <c r="B26" t="s">
        <v>49</v>
      </c>
      <c r="E26" s="4">
        <v>1</v>
      </c>
      <c r="G26">
        <v>2500</v>
      </c>
      <c r="H26">
        <f>G26*E26</f>
        <v>2500</v>
      </c>
      <c r="Q26"/>
      <c r="R26"/>
    </row>
    <row r="27" spans="1:24" x14ac:dyDescent="0.3">
      <c r="A27" s="4">
        <v>6</v>
      </c>
      <c r="B27" t="s">
        <v>77</v>
      </c>
      <c r="C27" t="s">
        <v>51</v>
      </c>
      <c r="D27" t="s">
        <v>52</v>
      </c>
      <c r="E27" s="10">
        <f>((R14/1000)+2)*3</f>
        <v>37.200000000000003</v>
      </c>
      <c r="F27" s="11"/>
      <c r="G27" s="13">
        <v>113</v>
      </c>
      <c r="H27" s="14">
        <f>G27*E27</f>
        <v>4203.6000000000004</v>
      </c>
      <c r="J27" s="14"/>
      <c r="L27" s="14"/>
      <c r="N27" s="14"/>
      <c r="P27" s="14"/>
      <c r="Q27"/>
      <c r="R27" s="14"/>
    </row>
    <row r="28" spans="1:24" x14ac:dyDescent="0.3">
      <c r="A28" s="4">
        <v>7</v>
      </c>
      <c r="B28" t="s">
        <v>78</v>
      </c>
      <c r="C28" t="s">
        <v>53</v>
      </c>
      <c r="D28" t="s">
        <v>59</v>
      </c>
      <c r="E28" s="10">
        <f>((R14+3000+3000)/1000)*4</f>
        <v>65.599999999999994</v>
      </c>
      <c r="F28" s="11"/>
      <c r="G28" s="13">
        <v>128</v>
      </c>
      <c r="H28" s="14">
        <f>G28*E28</f>
        <v>8396.7999999999993</v>
      </c>
      <c r="J28" s="14"/>
      <c r="L28" s="14"/>
      <c r="N28" s="14"/>
      <c r="P28" s="14"/>
      <c r="Q28"/>
      <c r="R28" s="14"/>
    </row>
    <row r="29" spans="1:24" x14ac:dyDescent="0.3">
      <c r="A29" s="4">
        <v>8</v>
      </c>
      <c r="B29" t="s">
        <v>95</v>
      </c>
      <c r="E29" s="4">
        <v>1</v>
      </c>
      <c r="G29" s="13">
        <v>28000</v>
      </c>
      <c r="H29">
        <f t="shared" si="0"/>
        <v>28000</v>
      </c>
      <c r="Q29"/>
      <c r="R29"/>
    </row>
    <row r="30" spans="1:24" x14ac:dyDescent="0.3">
      <c r="A30" s="4">
        <v>9</v>
      </c>
      <c r="B30" t="s">
        <v>79</v>
      </c>
      <c r="D30" t="s">
        <v>54</v>
      </c>
      <c r="E30" s="4">
        <f>((((R14/1000)*2)+2)*4)/4</f>
        <v>22.8</v>
      </c>
      <c r="G30" s="14">
        <f>(E30*77)+4000+1000</f>
        <v>6755.6</v>
      </c>
      <c r="H30" s="14">
        <f>G30</f>
        <v>6755.6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24" x14ac:dyDescent="0.3">
      <c r="A31" s="4">
        <v>10</v>
      </c>
      <c r="B31" t="s">
        <v>80</v>
      </c>
      <c r="D31" s="14">
        <f>15.5*38*(15.5+2)</f>
        <v>10307.5</v>
      </c>
      <c r="E31" s="4">
        <v>1</v>
      </c>
      <c r="G31" s="14">
        <f>D31</f>
        <v>10307.5</v>
      </c>
      <c r="H31" s="14">
        <f t="shared" si="0"/>
        <v>10307.5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t="s">
        <v>19</v>
      </c>
    </row>
    <row r="32" spans="1:24" x14ac:dyDescent="0.3">
      <c r="A32" s="4">
        <v>11</v>
      </c>
      <c r="B32" t="s">
        <v>81</v>
      </c>
      <c r="E32" s="4">
        <v>1</v>
      </c>
      <c r="G32" s="13">
        <f>4500</f>
        <v>4500</v>
      </c>
      <c r="H32">
        <f t="shared" si="0"/>
        <v>4500</v>
      </c>
      <c r="Q32"/>
      <c r="R32"/>
    </row>
    <row r="33" spans="1:19" ht="16.5" customHeight="1" x14ac:dyDescent="0.3">
      <c r="A33" s="4">
        <v>12</v>
      </c>
      <c r="B33" t="s">
        <v>82</v>
      </c>
      <c r="C33" t="s">
        <v>55</v>
      </c>
      <c r="D33" s="19">
        <f>R14/1000+10+10</f>
        <v>30.4</v>
      </c>
      <c r="E33" s="4">
        <v>1</v>
      </c>
      <c r="F33" s="5">
        <v>31</v>
      </c>
      <c r="G33" s="16">
        <f>50+2</f>
        <v>52</v>
      </c>
      <c r="H33" s="14">
        <f>G33*F33</f>
        <v>1612</v>
      </c>
      <c r="Q33"/>
      <c r="R33"/>
    </row>
    <row r="34" spans="1:19" ht="16.5" customHeight="1" x14ac:dyDescent="0.3">
      <c r="A34" s="4">
        <v>12</v>
      </c>
      <c r="B34" t="s">
        <v>82</v>
      </c>
      <c r="C34" t="s">
        <v>56</v>
      </c>
      <c r="D34" s="19">
        <f>(R14/1000)+G3*3+13</f>
        <v>29.4</v>
      </c>
      <c r="E34" s="4">
        <v>1</v>
      </c>
      <c r="F34" s="5">
        <v>30</v>
      </c>
      <c r="G34">
        <f>67+2</f>
        <v>69</v>
      </c>
      <c r="H34" s="14">
        <f t="shared" ref="H34:H36" si="1">G34*F34</f>
        <v>2070</v>
      </c>
      <c r="Q34"/>
      <c r="R34"/>
    </row>
    <row r="35" spans="1:19" ht="16.5" customHeight="1" x14ac:dyDescent="0.3">
      <c r="A35" s="4">
        <v>12</v>
      </c>
      <c r="B35" t="s">
        <v>82</v>
      </c>
      <c r="C35" t="s">
        <v>57</v>
      </c>
      <c r="D35" s="19">
        <f>((R14/1000)+5)+G3*2+(R14/1000*8)</f>
        <v>102.6</v>
      </c>
      <c r="E35" s="4">
        <v>1</v>
      </c>
      <c r="F35" s="5">
        <v>103</v>
      </c>
      <c r="G35">
        <f>20+3</f>
        <v>23</v>
      </c>
      <c r="H35" s="14">
        <f t="shared" si="1"/>
        <v>2369</v>
      </c>
      <c r="J35" s="14"/>
      <c r="L35" s="14"/>
      <c r="M35" s="14"/>
      <c r="N35" s="14"/>
      <c r="P35" s="14"/>
      <c r="Q35"/>
      <c r="R35" s="14"/>
    </row>
    <row r="36" spans="1:19" ht="16.5" customHeight="1" x14ac:dyDescent="0.3">
      <c r="A36" s="4">
        <v>12</v>
      </c>
      <c r="B36" t="s">
        <v>82</v>
      </c>
      <c r="C36" t="s">
        <v>94</v>
      </c>
      <c r="D36" s="19">
        <v>50</v>
      </c>
      <c r="E36" s="4">
        <v>1</v>
      </c>
      <c r="F36" s="5">
        <v>50</v>
      </c>
      <c r="G36">
        <f>35+2.2</f>
        <v>37.200000000000003</v>
      </c>
      <c r="H36" s="14">
        <f t="shared" si="1"/>
        <v>1860.0000000000002</v>
      </c>
      <c r="Q36"/>
      <c r="R36"/>
    </row>
    <row r="37" spans="1:19" ht="16.5" customHeight="1" x14ac:dyDescent="0.3">
      <c r="A37" s="4">
        <v>12</v>
      </c>
      <c r="B37" t="s">
        <v>82</v>
      </c>
      <c r="C37" t="s">
        <v>93</v>
      </c>
      <c r="D37" s="19">
        <v>50</v>
      </c>
      <c r="E37" s="4">
        <v>1</v>
      </c>
      <c r="F37" s="5">
        <v>50</v>
      </c>
      <c r="G37">
        <f>25+2</f>
        <v>27</v>
      </c>
      <c r="H37" s="14">
        <f>G37*F37</f>
        <v>1350</v>
      </c>
      <c r="Q37"/>
      <c r="R37"/>
    </row>
    <row r="38" spans="1:19" s="8" customFormat="1" x14ac:dyDescent="0.3">
      <c r="A38" s="9">
        <v>13</v>
      </c>
      <c r="B38" s="8" t="s">
        <v>83</v>
      </c>
      <c r="D38" s="8" t="s">
        <v>92</v>
      </c>
      <c r="E38" s="4">
        <v>1</v>
      </c>
      <c r="F38" s="9"/>
      <c r="G38" s="15">
        <v>43245</v>
      </c>
      <c r="H38" s="8">
        <f t="shared" si="0"/>
        <v>43245</v>
      </c>
      <c r="S38" s="8" t="s">
        <v>19</v>
      </c>
    </row>
    <row r="39" spans="1:19" s="8" customFormat="1" x14ac:dyDescent="0.3">
      <c r="A39" s="9">
        <v>14</v>
      </c>
      <c r="B39" s="8" t="s">
        <v>84</v>
      </c>
      <c r="D39" s="8" t="s">
        <v>92</v>
      </c>
      <c r="E39" s="9">
        <f>G3</f>
        <v>2</v>
      </c>
      <c r="F39" s="9"/>
      <c r="G39" s="15">
        <v>17880</v>
      </c>
      <c r="H39" s="8">
        <f t="shared" si="0"/>
        <v>35760</v>
      </c>
      <c r="S39" s="8" t="s">
        <v>19</v>
      </c>
    </row>
    <row r="40" spans="1:19" x14ac:dyDescent="0.3">
      <c r="A40" s="4">
        <v>17</v>
      </c>
      <c r="B40" t="s">
        <v>1</v>
      </c>
      <c r="C40" s="8" t="s">
        <v>25</v>
      </c>
      <c r="E40" s="4">
        <v>1</v>
      </c>
      <c r="G40">
        <v>25000</v>
      </c>
      <c r="H40">
        <f t="shared" si="0"/>
        <v>25000</v>
      </c>
      <c r="Q40"/>
      <c r="R40"/>
    </row>
    <row r="41" spans="1:19" x14ac:dyDescent="0.3">
      <c r="A41" s="4">
        <v>18</v>
      </c>
      <c r="B41" t="s">
        <v>85</v>
      </c>
      <c r="C41">
        <f>1500+1500+1000+1000</f>
        <v>5000</v>
      </c>
      <c r="D41" t="s">
        <v>90</v>
      </c>
      <c r="E41" s="4">
        <v>1</v>
      </c>
      <c r="G41">
        <f>5000</f>
        <v>5000</v>
      </c>
      <c r="H41">
        <f t="shared" si="0"/>
        <v>5000</v>
      </c>
      <c r="I41" s="8"/>
      <c r="Q41"/>
      <c r="R41"/>
    </row>
    <row r="42" spans="1:19" x14ac:dyDescent="0.3">
      <c r="A42" s="4"/>
      <c r="B42" t="s">
        <v>48</v>
      </c>
      <c r="D42">
        <f>2000+1000+2000</f>
        <v>5000</v>
      </c>
      <c r="E42" s="4">
        <v>1</v>
      </c>
      <c r="G42">
        <v>5000</v>
      </c>
      <c r="H42">
        <f>G42*E42</f>
        <v>5000</v>
      </c>
      <c r="I42" s="8"/>
      <c r="Q42"/>
      <c r="R42"/>
    </row>
    <row r="43" spans="1:19" x14ac:dyDescent="0.3">
      <c r="A43" s="4">
        <v>19</v>
      </c>
      <c r="B43" t="s">
        <v>86</v>
      </c>
      <c r="E43" s="4">
        <v>1</v>
      </c>
      <c r="G43">
        <v>7500</v>
      </c>
      <c r="H43">
        <f t="shared" si="0"/>
        <v>7500</v>
      </c>
      <c r="Q43"/>
      <c r="R43"/>
    </row>
    <row r="44" spans="1:19" x14ac:dyDescent="0.3">
      <c r="A44" s="4"/>
      <c r="D44" t="s">
        <v>9</v>
      </c>
      <c r="H44" s="14">
        <f>SUM(H16:H43)</f>
        <v>420079.5</v>
      </c>
      <c r="J44" s="14"/>
      <c r="L44" s="14"/>
      <c r="N44" s="14"/>
      <c r="P44" s="14"/>
      <c r="Q44"/>
      <c r="R44" s="14"/>
    </row>
    <row r="45" spans="1:19" x14ac:dyDescent="0.3">
      <c r="A45" s="4">
        <v>20</v>
      </c>
      <c r="B45" t="s">
        <v>60</v>
      </c>
      <c r="D45" t="s">
        <v>61</v>
      </c>
      <c r="E45" s="4">
        <f>G3</f>
        <v>2</v>
      </c>
      <c r="G45" s="13">
        <v>12000</v>
      </c>
      <c r="H45">
        <f>G45*E45</f>
        <v>24000</v>
      </c>
      <c r="I45" s="8"/>
      <c r="Q45"/>
      <c r="R45"/>
    </row>
    <row r="46" spans="1:19" x14ac:dyDescent="0.3">
      <c r="A46" s="4">
        <v>21</v>
      </c>
      <c r="B46" t="s">
        <v>87</v>
      </c>
      <c r="E46" s="4">
        <v>1</v>
      </c>
      <c r="G46">
        <v>12000</v>
      </c>
      <c r="H46">
        <f>G46*E46</f>
        <v>12000</v>
      </c>
      <c r="Q46"/>
      <c r="R46"/>
    </row>
    <row r="47" spans="1:19" x14ac:dyDescent="0.3">
      <c r="A47" s="4">
        <v>22</v>
      </c>
      <c r="B47" t="s">
        <v>88</v>
      </c>
      <c r="E47" s="4">
        <v>1</v>
      </c>
      <c r="G47" s="14">
        <f>H44*5%</f>
        <v>21003.975000000002</v>
      </c>
      <c r="H47" s="14">
        <f>G47*E47</f>
        <v>21003.975000000002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9" x14ac:dyDescent="0.3">
      <c r="D48" t="s">
        <v>9</v>
      </c>
      <c r="H48" s="14">
        <f>H44+H45+H46+H47</f>
        <v>477083.47499999998</v>
      </c>
      <c r="J48" s="14"/>
      <c r="L48" s="14"/>
      <c r="N48" s="14"/>
      <c r="P48" s="14"/>
      <c r="Q48"/>
      <c r="R48" s="14"/>
    </row>
    <row r="49" spans="2:18" x14ac:dyDescent="0.3">
      <c r="B49" t="s">
        <v>2</v>
      </c>
      <c r="E49" s="20">
        <v>0.2</v>
      </c>
      <c r="H49" s="14">
        <f>H48*20%</f>
        <v>95416.695000000007</v>
      </c>
      <c r="J49" s="14"/>
      <c r="L49" s="14"/>
      <c r="N49" s="14"/>
      <c r="P49" s="14"/>
      <c r="Q49"/>
      <c r="R49" s="14"/>
    </row>
    <row r="50" spans="2:18" x14ac:dyDescent="0.3">
      <c r="B50" t="s">
        <v>3</v>
      </c>
      <c r="H50" s="14">
        <f>H49+H48</f>
        <v>572500.16999999993</v>
      </c>
      <c r="J50" s="14"/>
      <c r="L50" s="14"/>
      <c r="N50" s="14"/>
      <c r="P50" s="14"/>
      <c r="Q50"/>
      <c r="R50" s="14"/>
    </row>
    <row r="51" spans="2:18" x14ac:dyDescent="0.3">
      <c r="J51" t="s">
        <v>19</v>
      </c>
      <c r="K51" t="s">
        <v>19</v>
      </c>
      <c r="Q51"/>
      <c r="R51" t="s">
        <v>19</v>
      </c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  <row r="72" spans="17:18" x14ac:dyDescent="0.3">
      <c r="Q72"/>
      <c r="R72"/>
    </row>
    <row r="73" spans="17:18" x14ac:dyDescent="0.3">
      <c r="Q73"/>
      <c r="R73"/>
    </row>
    <row r="74" spans="17:18" x14ac:dyDescent="0.3">
      <c r="Q74"/>
      <c r="R74"/>
    </row>
    <row r="75" spans="17:18" x14ac:dyDescent="0.3">
      <c r="Q75"/>
      <c r="R75"/>
    </row>
    <row r="76" spans="17:18" x14ac:dyDescent="0.3">
      <c r="Q76"/>
      <c r="R76"/>
    </row>
    <row r="77" spans="17:18" x14ac:dyDescent="0.3">
      <c r="Q77"/>
      <c r="R77"/>
    </row>
    <row r="78" spans="17:18" x14ac:dyDescent="0.3">
      <c r="Q78"/>
      <c r="R78"/>
    </row>
    <row r="79" spans="17:18" x14ac:dyDescent="0.3">
      <c r="Q79"/>
      <c r="R79"/>
    </row>
    <row r="80" spans="17:18" x14ac:dyDescent="0.3">
      <c r="Q80"/>
      <c r="R80"/>
    </row>
    <row r="81" spans="17:18" x14ac:dyDescent="0.3">
      <c r="Q81"/>
      <c r="R81"/>
    </row>
    <row r="82" spans="17:18" x14ac:dyDescent="0.3">
      <c r="Q82"/>
      <c r="R82"/>
    </row>
    <row r="83" spans="17:18" x14ac:dyDescent="0.3">
      <c r="Q83"/>
      <c r="R83"/>
    </row>
    <row r="84" spans="17:18" x14ac:dyDescent="0.3">
      <c r="Q84"/>
      <c r="R84"/>
    </row>
    <row r="85" spans="17:18" x14ac:dyDescent="0.3">
      <c r="Q85"/>
      <c r="R85"/>
    </row>
    <row r="86" spans="17:18" x14ac:dyDescent="0.3">
      <c r="Q86"/>
      <c r="R86"/>
    </row>
    <row r="87" spans="17:18" x14ac:dyDescent="0.3">
      <c r="Q87"/>
      <c r="R87"/>
    </row>
    <row r="88" spans="17:18" x14ac:dyDescent="0.3">
      <c r="Q88"/>
      <c r="R88"/>
    </row>
    <row r="89" spans="17:18" x14ac:dyDescent="0.3">
      <c r="Q89"/>
      <c r="R89"/>
    </row>
    <row r="90" spans="17:18" x14ac:dyDescent="0.3">
      <c r="Q90"/>
      <c r="R90"/>
    </row>
    <row r="91" spans="17:18" x14ac:dyDescent="0.3">
      <c r="Q91"/>
      <c r="R91"/>
    </row>
    <row r="92" spans="17:18" x14ac:dyDescent="0.3">
      <c r="Q92"/>
      <c r="R92"/>
    </row>
    <row r="93" spans="17:18" x14ac:dyDescent="0.3">
      <c r="Q93"/>
      <c r="R93"/>
    </row>
    <row r="94" spans="17:18" x14ac:dyDescent="0.3">
      <c r="Q94"/>
      <c r="R94"/>
    </row>
    <row r="95" spans="17:18" x14ac:dyDescent="0.3">
      <c r="Q95"/>
      <c r="R95"/>
    </row>
    <row r="96" spans="17:18" x14ac:dyDescent="0.3">
      <c r="Q96"/>
      <c r="R96"/>
    </row>
    <row r="97" spans="17:18" x14ac:dyDescent="0.3">
      <c r="Q97"/>
      <c r="R97"/>
    </row>
    <row r="98" spans="17:18" x14ac:dyDescent="0.3">
      <c r="Q98"/>
      <c r="R98"/>
    </row>
    <row r="99" spans="17:18" x14ac:dyDescent="0.3">
      <c r="Q99"/>
      <c r="R99"/>
    </row>
    <row r="100" spans="17:18" x14ac:dyDescent="0.3">
      <c r="Q100"/>
      <c r="R100"/>
    </row>
    <row r="101" spans="17:18" x14ac:dyDescent="0.3">
      <c r="Q101"/>
      <c r="R101"/>
    </row>
    <row r="102" spans="17:18" x14ac:dyDescent="0.3">
      <c r="Q102"/>
      <c r="R102"/>
    </row>
    <row r="103" spans="17:18" x14ac:dyDescent="0.3">
      <c r="Q103"/>
      <c r="R103"/>
    </row>
    <row r="104" spans="17:18" x14ac:dyDescent="0.3">
      <c r="Q104"/>
      <c r="R104"/>
    </row>
    <row r="105" spans="17:18" x14ac:dyDescent="0.3">
      <c r="Q105"/>
      <c r="R105"/>
    </row>
    <row r="106" spans="17:18" x14ac:dyDescent="0.3">
      <c r="Q106"/>
      <c r="R106"/>
    </row>
    <row r="107" spans="17:18" x14ac:dyDescent="0.3">
      <c r="Q107"/>
      <c r="R107"/>
    </row>
    <row r="108" spans="17:18" x14ac:dyDescent="0.3">
      <c r="Q108"/>
      <c r="R108"/>
    </row>
    <row r="109" spans="17:18" x14ac:dyDescent="0.3">
      <c r="Q109"/>
      <c r="R109"/>
    </row>
    <row r="110" spans="17:18" x14ac:dyDescent="0.3">
      <c r="Q110"/>
      <c r="R110"/>
    </row>
    <row r="111" spans="17:18" x14ac:dyDescent="0.3">
      <c r="Q111"/>
      <c r="R111"/>
    </row>
    <row r="112" spans="17:18" x14ac:dyDescent="0.3">
      <c r="Q112"/>
      <c r="R112"/>
    </row>
    <row r="113" spans="17:18" x14ac:dyDescent="0.3">
      <c r="Q113"/>
      <c r="R113"/>
    </row>
    <row r="114" spans="17:18" x14ac:dyDescent="0.3">
      <c r="Q114"/>
      <c r="R114"/>
    </row>
    <row r="115" spans="17:18" x14ac:dyDescent="0.3">
      <c r="Q115"/>
      <c r="R115"/>
    </row>
  </sheetData>
  <mergeCells count="10">
    <mergeCell ref="K14:L14"/>
    <mergeCell ref="M14:N14"/>
    <mergeCell ref="W15:X15"/>
    <mergeCell ref="T22:X22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2026-06-07T18:05:02Z</dcterms:modified>
</cp:coreProperties>
</file>