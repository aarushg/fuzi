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1CB8D728-3BB2-4A5E-8EAC-355E83825F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H31" i="1" s="1"/>
  <c r="G37" i="1"/>
  <c r="H37" i="1" s="1"/>
  <c r="G36" i="1"/>
  <c r="H36" i="1" s="1"/>
  <c r="G34" i="1"/>
  <c r="H34" i="1" s="1"/>
  <c r="G33" i="1"/>
  <c r="H33" i="1" s="1"/>
  <c r="H26" i="1"/>
  <c r="G16" i="1"/>
  <c r="H16" i="1"/>
  <c r="H17" i="1"/>
  <c r="H18" i="1"/>
  <c r="H19" i="1"/>
  <c r="H20" i="1"/>
  <c r="H21" i="1"/>
  <c r="G22" i="1"/>
  <c r="H22" i="1"/>
  <c r="G23" i="1"/>
  <c r="H23" i="1"/>
  <c r="G24" i="1"/>
  <c r="H24" i="1" s="1"/>
  <c r="G25" i="1"/>
  <c r="H25" i="1"/>
  <c r="H27" i="1"/>
  <c r="G28" i="1"/>
  <c r="H28" i="1"/>
  <c r="H29" i="1"/>
  <c r="G30" i="1"/>
  <c r="H30" i="1"/>
  <c r="G32" i="1"/>
  <c r="H32" i="1"/>
  <c r="G35" i="1"/>
  <c r="H35" i="1"/>
  <c r="H38" i="1"/>
  <c r="H39" i="1"/>
  <c r="G40" i="1"/>
  <c r="H40" i="1"/>
  <c r="G41" i="1"/>
  <c r="H41" i="1"/>
  <c r="H42" i="1"/>
  <c r="H43" i="1"/>
  <c r="H45" i="1"/>
  <c r="H46" i="1"/>
  <c r="E30" i="1"/>
  <c r="J3" i="1"/>
  <c r="H44" i="1" l="1"/>
  <c r="D31" i="1"/>
  <c r="J10" i="1"/>
  <c r="J9" i="1"/>
  <c r="J8" i="1"/>
  <c r="J7" i="1"/>
  <c r="J6" i="1"/>
  <c r="J5" i="1"/>
  <c r="J4" i="1"/>
  <c r="J2" i="1"/>
  <c r="G47" i="1" l="1"/>
  <c r="H47" i="1" s="1"/>
  <c r="H48" i="1" s="1"/>
  <c r="H49" i="1" s="1"/>
  <c r="H50" i="1" s="1"/>
  <c r="D42" i="1"/>
  <c r="C41" i="1"/>
  <c r="R14" i="1"/>
  <c r="E17" i="1" s="1"/>
  <c r="E39" i="1"/>
  <c r="E45" i="1"/>
  <c r="D33" i="1" l="1"/>
  <c r="D34" i="1"/>
  <c r="D35" i="1"/>
  <c r="E28" i="1"/>
  <c r="E27" i="1"/>
  <c r="E16" i="1"/>
</calcChain>
</file>

<file path=xl/sharedStrings.xml><?xml version="1.0" encoding="utf-8"?>
<sst xmlns="http://schemas.openxmlformats.org/spreadsheetml/2006/main" count="121" uniqueCount="96">
  <si>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</si>
  <si>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</si>
  <si>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</si>
  <si>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</si>
  <si>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</si>
  <si>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</si>
  <si>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</si>
  <si>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</si>
  <si>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</si>
  <si>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</si>
  <si>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</si>
  <si>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</si>
  <si>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</si>
  <si>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</si>
  <si>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</si>
  <si>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</si>
  <si>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</si>
  <si>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</si>
  <si>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</si>
  <si>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</si>
  <si>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</si>
  <si>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</si>
  <si>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</si>
  <si>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</si>
  <si>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</si>
  <si>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</si>
  <si>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</si>
  <si>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</si>
  <si>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</si>
  <si>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</si>
  <si>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</si>
  <si>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</si>
  <si>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</si>
  <si>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</si>
  <si>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</si>
  <si>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</si>
  <si>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</si>
  <si>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</si>
  <si>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</si>
  <si>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</si>
  <si>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</si>
  <si>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</si>
  <si>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</si>
  <si>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</si>
  <si>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</si>
  <si>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</si>
  <si>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</si>
  <si>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</si>
  <si>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</si>
  <si>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</si>
  <si>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</si>
  <si>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</si>
  <si>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</si>
  <si>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</si>
  <si>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</si>
  <si>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</si>
  <si>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</si>
  <si>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</si>
  <si>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</si>
  <si>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</si>
  <si>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</si>
  <si>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</si>
  <si>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</si>
  <si>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</si>
  <si>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</si>
  <si>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</si>
  <si>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</si>
  <si>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</si>
  <si>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</si>
  <si>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</si>
  <si>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</si>
  <si>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</si>
  <si>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</si>
  <si>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</si>
  <si>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</si>
  <si>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</si>
  <si>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</si>
  <si>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</si>
  <si>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</si>
  <si>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</si>
  <si>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</si>
  <si>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</si>
  <si>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</si>
  <si>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</si>
  <si>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</si>
  <si>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</si>
  <si>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</si>
  <si>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</si>
  <si>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</si>
  <si>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</si>
  <si>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</si>
  <si>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</si>
  <si>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</si>
  <si>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pit</t>
  </si>
  <si>
    <t>ss</t>
  </si>
  <si>
    <t>Geared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</si>
</sst>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zoomScale="82" zoomScaleNormal="110" workbookViewId="0">
      <selection activeCell="B30" sqref="B3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60</v>
      </c>
      <c r="J1" s="2" t="s">
        <v>69</v>
      </c>
      <c r="K1" t="s">
        <v>19</v>
      </c>
      <c r="Q1" s="2" t="s">
        <v>93</v>
      </c>
      <c r="R1" s="1">
        <v>1600</v>
      </c>
      <c r="S1" t="s">
        <v>19</v>
      </c>
    </row>
    <row r="2" spans="1:24" x14ac:dyDescent="0.3">
      <c r="B2" t="s">
        <v>61</v>
      </c>
      <c r="E2" s="3" t="s">
        <v>19</v>
      </c>
      <c r="G2" s="3">
        <v>6</v>
      </c>
      <c r="H2" s="2" t="s">
        <v>14</v>
      </c>
      <c r="I2" s="5">
        <v>2</v>
      </c>
      <c r="J2" s="2">
        <f>7500+500+1550+2450+2000</f>
        <v>14000</v>
      </c>
      <c r="Q2" s="2" t="s">
        <v>29</v>
      </c>
      <c r="R2" s="2">
        <v>0</v>
      </c>
      <c r="T2" s="3"/>
      <c r="V2" s="3"/>
    </row>
    <row r="3" spans="1:24" x14ac:dyDescent="0.3">
      <c r="B3" t="s">
        <v>60</v>
      </c>
      <c r="E3" s="3" t="s">
        <v>19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30</v>
      </c>
      <c r="R3" s="1">
        <v>4000</v>
      </c>
      <c r="T3" s="3"/>
      <c r="V3" s="3"/>
    </row>
    <row r="4" spans="1:24" x14ac:dyDescent="0.3">
      <c r="B4" t="s">
        <v>62</v>
      </c>
      <c r="E4" s="3">
        <v>1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19</v>
      </c>
      <c r="L4" t="s">
        <v>19</v>
      </c>
      <c r="Q4" s="2" t="s">
        <v>31</v>
      </c>
      <c r="R4" s="2">
        <v>0</v>
      </c>
      <c r="T4" s="3"/>
      <c r="V4" s="3"/>
    </row>
    <row r="5" spans="1:24" x14ac:dyDescent="0.3">
      <c r="B5" t="s">
        <v>63</v>
      </c>
      <c r="E5" s="3" t="s">
        <v>22</v>
      </c>
      <c r="H5" s="2" t="s">
        <v>7</v>
      </c>
      <c r="I5" s="5">
        <v>5</v>
      </c>
      <c r="J5" s="2">
        <f>8550+1250+1550+2450+1850*3+2000</f>
        <v>21350</v>
      </c>
      <c r="Q5" s="2" t="s">
        <v>32</v>
      </c>
      <c r="R5" s="2">
        <v>0</v>
      </c>
      <c r="T5" s="3"/>
      <c r="V5" s="3"/>
    </row>
    <row r="6" spans="1:24" x14ac:dyDescent="0.3">
      <c r="B6" t="s">
        <v>64</v>
      </c>
      <c r="E6" s="3" t="s">
        <v>94</v>
      </c>
      <c r="H6" s="2" t="s">
        <v>8</v>
      </c>
      <c r="I6" s="5">
        <v>6</v>
      </c>
      <c r="J6" s="2">
        <f>8900+1500+1550+2450+1850*4+2000</f>
        <v>23800</v>
      </c>
      <c r="Q6" s="2" t="s">
        <v>33</v>
      </c>
      <c r="R6" s="2">
        <v>0</v>
      </c>
      <c r="T6" s="3"/>
      <c r="V6" s="3"/>
    </row>
    <row r="7" spans="1:24" x14ac:dyDescent="0.3">
      <c r="B7" t="s">
        <v>65</v>
      </c>
      <c r="E7" s="3" t="s">
        <v>94</v>
      </c>
      <c r="H7" s="2" t="s">
        <v>15</v>
      </c>
      <c r="I7" s="5">
        <v>7</v>
      </c>
      <c r="J7" s="2">
        <f>9250+1750+1550+2450+1850*5+2000</f>
        <v>26250</v>
      </c>
      <c r="Q7" s="2" t="s">
        <v>34</v>
      </c>
      <c r="R7" s="2">
        <v>0</v>
      </c>
    </row>
    <row r="8" spans="1:24" x14ac:dyDescent="0.3">
      <c r="B8" t="s">
        <v>66</v>
      </c>
      <c r="E8" s="3" t="s">
        <v>23</v>
      </c>
      <c r="H8" s="2" t="s">
        <v>16</v>
      </c>
      <c r="I8" s="5">
        <v>8</v>
      </c>
      <c r="J8" s="2">
        <f>9600+2000+1550+2450+1850*6+2000</f>
        <v>28700</v>
      </c>
      <c r="Q8" s="2" t="s">
        <v>35</v>
      </c>
      <c r="R8" s="2">
        <v>0</v>
      </c>
      <c r="T8" s="3" t="s">
        <v>19</v>
      </c>
      <c r="V8" s="3"/>
    </row>
    <row r="9" spans="1:24" x14ac:dyDescent="0.3">
      <c r="B9" t="s">
        <v>67</v>
      </c>
      <c r="D9" t="s">
        <v>19</v>
      </c>
      <c r="E9" s="3" t="s">
        <v>21</v>
      </c>
      <c r="H9" s="2" t="s">
        <v>17</v>
      </c>
      <c r="I9" s="5">
        <v>9</v>
      </c>
      <c r="J9" s="2">
        <f>9950+2250+1550+2450+1850*7+2000</f>
        <v>31150</v>
      </c>
      <c r="Q9" s="2" t="s">
        <v>36</v>
      </c>
      <c r="R9" s="2">
        <v>0</v>
      </c>
      <c r="T9" s="6" t="s">
        <v>19</v>
      </c>
      <c r="V9" s="3"/>
    </row>
    <row r="10" spans="1:24" x14ac:dyDescent="0.3">
      <c r="B10" t="s">
        <v>68</v>
      </c>
      <c r="D10" t="s">
        <v>19</v>
      </c>
      <c r="E10" s="3" t="s">
        <v>24</v>
      </c>
      <c r="H10" s="2" t="s">
        <v>18</v>
      </c>
      <c r="I10" s="5">
        <v>10</v>
      </c>
      <c r="J10" s="2">
        <f>10300+2500+1550+2450+1850*8+2000</f>
        <v>33600</v>
      </c>
      <c r="K10" s="6" t="s">
        <v>19</v>
      </c>
      <c r="Q10" s="2" t="s">
        <v>37</v>
      </c>
      <c r="R10" s="2">
        <v>0</v>
      </c>
      <c r="V10" s="3"/>
    </row>
    <row r="11" spans="1:24" x14ac:dyDescent="0.3">
      <c r="D11" t="s">
        <v>19</v>
      </c>
      <c r="K11" s="6" t="s">
        <v>19</v>
      </c>
      <c r="Q11" s="2" t="s">
        <v>38</v>
      </c>
      <c r="R11" s="2">
        <v>0</v>
      </c>
      <c r="V11" s="3"/>
    </row>
    <row r="12" spans="1:24" x14ac:dyDescent="0.3">
      <c r="K12" s="6" t="s">
        <v>19</v>
      </c>
      <c r="Q12" s="2" t="s">
        <v>39</v>
      </c>
      <c r="R12" s="2">
        <v>0</v>
      </c>
      <c r="V12" s="3"/>
    </row>
    <row r="13" spans="1:24" x14ac:dyDescent="0.3">
      <c r="K13" s="6"/>
      <c r="Q13" s="2" t="s">
        <v>40</v>
      </c>
      <c r="R13" s="1">
        <v>4800</v>
      </c>
      <c r="V13" s="3"/>
    </row>
    <row r="14" spans="1:24" x14ac:dyDescent="0.3">
      <c r="K14" s="16"/>
      <c r="L14" s="16"/>
      <c r="M14" s="16"/>
      <c r="N14" s="16"/>
      <c r="Q14" s="2" t="s">
        <v>41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28</v>
      </c>
      <c r="G15" s="15" t="s">
        <v>10</v>
      </c>
      <c r="H15" s="15"/>
      <c r="K15" s="15"/>
      <c r="L15" s="15"/>
      <c r="M15" s="15"/>
      <c r="N15" s="15"/>
      <c r="O15" s="15"/>
      <c r="P15" s="15"/>
      <c r="Q15" s="15"/>
      <c r="R15" s="15"/>
      <c r="V15" s="8"/>
      <c r="W15" s="15"/>
      <c r="X15" s="15"/>
    </row>
    <row r="16" spans="1:24" x14ac:dyDescent="0.3">
      <c r="A16" s="3">
        <v>1</v>
      </c>
      <c r="B16" t="s">
        <v>70</v>
      </c>
      <c r="C16" t="s">
        <v>87</v>
      </c>
      <c r="D16" t="s">
        <v>27</v>
      </c>
      <c r="E16" s="11">
        <f>(R14/5000)*2</f>
        <v>4.16</v>
      </c>
      <c r="F16" s="11">
        <v>5</v>
      </c>
      <c r="G16">
        <f>4800+200</f>
        <v>5000</v>
      </c>
      <c r="H16" s="12">
        <f>G16*F16</f>
        <v>25000</v>
      </c>
      <c r="L16" s="12"/>
      <c r="N16" s="12"/>
      <c r="P16" s="12"/>
      <c r="R16" s="12"/>
      <c r="V16" s="3"/>
    </row>
    <row r="17" spans="1:24" x14ac:dyDescent="0.3">
      <c r="A17" s="3">
        <v>2</v>
      </c>
      <c r="B17" t="s">
        <v>44</v>
      </c>
      <c r="C17" t="s">
        <v>43</v>
      </c>
      <c r="D17" t="s">
        <v>42</v>
      </c>
      <c r="E17" s="11">
        <f>((R14-900)/2000)+2</f>
        <v>6.75</v>
      </c>
      <c r="F17" s="4">
        <v>7</v>
      </c>
      <c r="G17">
        <v>950</v>
      </c>
      <c r="H17" s="12">
        <f>G17*F17</f>
        <v>6650</v>
      </c>
      <c r="L17" s="12"/>
      <c r="N17" s="12"/>
      <c r="V17" s="3"/>
    </row>
    <row r="18" spans="1:24" x14ac:dyDescent="0.3">
      <c r="A18" s="3">
        <v>3</v>
      </c>
      <c r="B18" t="s">
        <v>71</v>
      </c>
      <c r="C18" t="s">
        <v>45</v>
      </c>
      <c r="E18" s="3">
        <v>1</v>
      </c>
      <c r="G18">
        <v>75000</v>
      </c>
      <c r="H18">
        <f>E18*G18</f>
        <v>75000</v>
      </c>
      <c r="V18" s="3"/>
    </row>
    <row r="19" spans="1:24" x14ac:dyDescent="0.3">
      <c r="A19" s="3" t="s">
        <v>19</v>
      </c>
      <c r="B19" t="s">
        <v>72</v>
      </c>
      <c r="E19" s="3">
        <v>1</v>
      </c>
      <c r="G19">
        <v>4000</v>
      </c>
      <c r="H19">
        <f>E19*G19</f>
        <v>4000</v>
      </c>
    </row>
    <row r="20" spans="1:24" x14ac:dyDescent="0.3">
      <c r="A20" s="3"/>
      <c r="B20" t="s">
        <v>56</v>
      </c>
      <c r="E20" s="3">
        <v>1</v>
      </c>
      <c r="G20">
        <v>2500</v>
      </c>
      <c r="H20">
        <f>G20*E20</f>
        <v>2500</v>
      </c>
    </row>
    <row r="21" spans="1:24" x14ac:dyDescent="0.3">
      <c r="A21" s="3"/>
      <c r="B21" t="s">
        <v>89</v>
      </c>
      <c r="E21" s="3">
        <v>1</v>
      </c>
      <c r="G21">
        <v>6000</v>
      </c>
      <c r="H21">
        <f>G21*E21</f>
        <v>6000</v>
      </c>
    </row>
    <row r="22" spans="1:24" x14ac:dyDescent="0.3">
      <c r="A22" s="3">
        <v>4</v>
      </c>
      <c r="B22" t="s">
        <v>73</v>
      </c>
      <c r="D22" t="s">
        <v>48</v>
      </c>
      <c r="E22" s="3">
        <v>1</v>
      </c>
      <c r="G22">
        <f>37500+1500</f>
        <v>39000</v>
      </c>
      <c r="H22">
        <f>E22*G22</f>
        <v>39000</v>
      </c>
      <c r="T22" s="16"/>
      <c r="U22" s="16"/>
      <c r="V22" s="16"/>
      <c r="W22" s="16"/>
      <c r="X22" s="16"/>
    </row>
    <row r="23" spans="1:24" x14ac:dyDescent="0.3">
      <c r="A23" s="3">
        <v>5</v>
      </c>
      <c r="B23" t="s">
        <v>20</v>
      </c>
      <c r="E23" s="3">
        <v>1</v>
      </c>
      <c r="G23">
        <f>12500+500</f>
        <v>13000</v>
      </c>
      <c r="H23">
        <f>E23*G23</f>
        <v>13000</v>
      </c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</row>
    <row r="25" spans="1:24" x14ac:dyDescent="0.3">
      <c r="A25" s="3">
        <v>16</v>
      </c>
      <c r="B25" t="s">
        <v>74</v>
      </c>
      <c r="D25" t="s">
        <v>26</v>
      </c>
      <c r="E25" s="3">
        <v>1</v>
      </c>
      <c r="G25">
        <f>62000+2000+2500</f>
        <v>66500</v>
      </c>
      <c r="H25">
        <f>E25*G25</f>
        <v>66500</v>
      </c>
    </row>
    <row r="26" spans="1:24" x14ac:dyDescent="0.3">
      <c r="A26" s="3"/>
      <c r="B26" t="s">
        <v>47</v>
      </c>
      <c r="E26" s="3">
        <v>1</v>
      </c>
      <c r="G26">
        <v>2500</v>
      </c>
      <c r="H26">
        <f>G26*E26</f>
        <v>2500</v>
      </c>
    </row>
    <row r="27" spans="1:24" x14ac:dyDescent="0.3">
      <c r="A27" s="3">
        <v>6</v>
      </c>
      <c r="B27" t="s">
        <v>75</v>
      </c>
      <c r="C27" t="s">
        <v>49</v>
      </c>
      <c r="D27" t="s">
        <v>50</v>
      </c>
      <c r="E27" s="9">
        <f>((R14/1000)+2)*3</f>
        <v>37.200000000000003</v>
      </c>
      <c r="F27" s="10"/>
      <c r="G27">
        <v>113</v>
      </c>
      <c r="H27" s="12">
        <f>E27*G27</f>
        <v>4203.6000000000004</v>
      </c>
      <c r="L27" s="12"/>
      <c r="N27" s="12"/>
      <c r="P27" s="12"/>
      <c r="R27" s="12"/>
    </row>
    <row r="28" spans="1:24" x14ac:dyDescent="0.3">
      <c r="A28" s="3">
        <v>7</v>
      </c>
      <c r="B28" t="s">
        <v>76</v>
      </c>
      <c r="C28" t="s">
        <v>51</v>
      </c>
      <c r="D28" t="s">
        <v>57</v>
      </c>
      <c r="E28" s="9">
        <f>((R14+3000+3000)/1000)*4</f>
        <v>65.599999999999994</v>
      </c>
      <c r="F28" s="10"/>
      <c r="G28">
        <f>128</f>
        <v>128</v>
      </c>
      <c r="H28" s="12">
        <f>E28*G28</f>
        <v>8396.7999999999993</v>
      </c>
      <c r="L28" s="12"/>
      <c r="N28" s="12"/>
      <c r="P28" s="12"/>
      <c r="R28" s="12"/>
    </row>
    <row r="29" spans="1:24" x14ac:dyDescent="0.3">
      <c r="A29" s="3">
        <v>8</v>
      </c>
      <c r="B29" t="s">
        <v>95</v>
      </c>
      <c r="E29" s="3">
        <v>1</v>
      </c>
      <c r="G29">
        <v>28000</v>
      </c>
      <c r="H29">
        <f>E29*G29</f>
        <v>28000</v>
      </c>
    </row>
    <row r="30" spans="1:24" x14ac:dyDescent="0.3">
      <c r="A30" s="3">
        <v>9</v>
      </c>
      <c r="B30" t="s">
        <v>77</v>
      </c>
      <c r="D30" t="s">
        <v>52</v>
      </c>
      <c r="E30" s="3">
        <f>R14/1000*2+2</f>
        <v>22.8</v>
      </c>
      <c r="G30" s="12">
        <f>4000+1000+(E30*77)</f>
        <v>6755.6</v>
      </c>
      <c r="H30" s="12">
        <f>G30</f>
        <v>6755.6</v>
      </c>
      <c r="K30" s="12"/>
      <c r="L30" s="12"/>
      <c r="M30" s="12"/>
      <c r="N30" s="12"/>
      <c r="O30" s="12"/>
      <c r="P30" s="12"/>
      <c r="Q30" s="12"/>
      <c r="R30" s="12"/>
    </row>
    <row r="31" spans="1:24" x14ac:dyDescent="0.3">
      <c r="A31" s="3">
        <v>10</v>
      </c>
      <c r="B31" t="s">
        <v>78</v>
      </c>
      <c r="D31" s="12">
        <f>15.5*38*(15.5+2)</f>
        <v>10307.5</v>
      </c>
      <c r="E31" s="3">
        <v>1</v>
      </c>
      <c r="G31" s="12">
        <f>D31</f>
        <v>10307.5</v>
      </c>
      <c r="H31" s="12">
        <f>E31*G31</f>
        <v>10307.5</v>
      </c>
      <c r="K31" s="12"/>
      <c r="L31" s="12"/>
      <c r="M31" s="12"/>
      <c r="N31" s="12"/>
      <c r="O31" s="12"/>
      <c r="P31" s="12"/>
      <c r="Q31" s="12"/>
      <c r="R31" s="12"/>
    </row>
    <row r="32" spans="1:24" x14ac:dyDescent="0.3">
      <c r="A32" s="3">
        <v>11</v>
      </c>
      <c r="B32" t="s">
        <v>79</v>
      </c>
      <c r="E32" s="3">
        <v>1</v>
      </c>
      <c r="G32">
        <f>4500</f>
        <v>4500</v>
      </c>
      <c r="H32">
        <f>E32*G32</f>
        <v>4500</v>
      </c>
    </row>
    <row r="33" spans="1:18" ht="16.5" customHeight="1" x14ac:dyDescent="0.3">
      <c r="A33" s="3">
        <v>12</v>
      </c>
      <c r="B33" t="s">
        <v>80</v>
      </c>
      <c r="C33" t="s">
        <v>53</v>
      </c>
      <c r="D33" s="13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</row>
    <row r="34" spans="1:18" ht="16.5" customHeight="1" x14ac:dyDescent="0.3">
      <c r="A34" s="3">
        <v>12</v>
      </c>
      <c r="B34" t="s">
        <v>80</v>
      </c>
      <c r="C34" t="s">
        <v>54</v>
      </c>
      <c r="D34" s="13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</row>
    <row r="35" spans="1:18" ht="16.5" customHeight="1" x14ac:dyDescent="0.3">
      <c r="A35" s="3">
        <v>12</v>
      </c>
      <c r="B35" t="s">
        <v>80</v>
      </c>
      <c r="C35" t="s">
        <v>55</v>
      </c>
      <c r="D35" s="13">
        <f>((R14/1000)+5)+G3*2+(R14/1000*8)</f>
        <v>102.6</v>
      </c>
      <c r="E35" s="3">
        <v>1</v>
      </c>
      <c r="F35" s="4">
        <v>103</v>
      </c>
      <c r="G35">
        <f>23</f>
        <v>23</v>
      </c>
      <c r="H35" s="12">
        <f>G35*F35</f>
        <v>2369</v>
      </c>
      <c r="L35" s="12"/>
      <c r="M35" s="12"/>
      <c r="N35" s="12"/>
      <c r="P35" s="12"/>
      <c r="R35" s="12"/>
    </row>
    <row r="36" spans="1:18" ht="16.5" customHeight="1" x14ac:dyDescent="0.3">
      <c r="A36" s="3">
        <v>12</v>
      </c>
      <c r="B36" t="s">
        <v>80</v>
      </c>
      <c r="C36" t="s">
        <v>92</v>
      </c>
      <c r="D36" s="13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</row>
    <row r="37" spans="1:18" ht="16.5" customHeight="1" x14ac:dyDescent="0.3">
      <c r="A37" s="3">
        <v>12</v>
      </c>
      <c r="B37" t="s">
        <v>80</v>
      </c>
      <c r="C37" t="s">
        <v>91</v>
      </c>
      <c r="D37" s="13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</row>
    <row r="38" spans="1:18" s="7" customFormat="1" x14ac:dyDescent="0.3">
      <c r="A38" s="8">
        <v>13</v>
      </c>
      <c r="B38" s="7" t="s">
        <v>81</v>
      </c>
      <c r="D38" s="7" t="s">
        <v>90</v>
      </c>
      <c r="E38" s="3">
        <v>1</v>
      </c>
      <c r="F38" s="8"/>
      <c r="G38" s="7">
        <v>47840</v>
      </c>
      <c r="H38" s="7">
        <f>E38*G38</f>
        <v>47840</v>
      </c>
    </row>
    <row r="39" spans="1:18" s="7" customFormat="1" x14ac:dyDescent="0.3">
      <c r="A39" s="8">
        <v>14</v>
      </c>
      <c r="B39" s="7" t="s">
        <v>82</v>
      </c>
      <c r="D39" s="7" t="s">
        <v>90</v>
      </c>
      <c r="E39" s="8">
        <f>G3</f>
        <v>2</v>
      </c>
      <c r="F39" s="8"/>
      <c r="G39" s="7">
        <v>26355</v>
      </c>
      <c r="H39" s="7">
        <f>E39*G39</f>
        <v>52710</v>
      </c>
    </row>
    <row r="40" spans="1:18" x14ac:dyDescent="0.3">
      <c r="A40" s="3">
        <v>17</v>
      </c>
      <c r="B40" t="s">
        <v>1</v>
      </c>
      <c r="C40" s="7" t="s">
        <v>25</v>
      </c>
      <c r="E40" s="3">
        <v>1</v>
      </c>
      <c r="G40">
        <f>25000</f>
        <v>25000</v>
      </c>
      <c r="H40">
        <f>G40*E40</f>
        <v>25000</v>
      </c>
    </row>
    <row r="41" spans="1:18" x14ac:dyDescent="0.3">
      <c r="A41" s="3">
        <v>18</v>
      </c>
      <c r="B41" t="s">
        <v>83</v>
      </c>
      <c r="C41">
        <f>1500+1500+1000+1000</f>
        <v>5000</v>
      </c>
      <c r="D41" t="s">
        <v>88</v>
      </c>
      <c r="E41" s="3">
        <v>1</v>
      </c>
      <c r="G41" s="7">
        <f>5000</f>
        <v>5000</v>
      </c>
      <c r="H41">
        <f>E41*G41</f>
        <v>5000</v>
      </c>
    </row>
    <row r="42" spans="1:18" x14ac:dyDescent="0.3">
      <c r="A42" s="3"/>
      <c r="B42" t="s">
        <v>46</v>
      </c>
      <c r="D42">
        <f>2000+1000+2000</f>
        <v>5000</v>
      </c>
      <c r="E42" s="3">
        <v>1</v>
      </c>
      <c r="G42" s="7">
        <v>5000</v>
      </c>
      <c r="H42">
        <f>G42*E42</f>
        <v>5000</v>
      </c>
    </row>
    <row r="43" spans="1:18" x14ac:dyDescent="0.3">
      <c r="A43" s="3">
        <v>19</v>
      </c>
      <c r="B43" t="s">
        <v>84</v>
      </c>
      <c r="E43" s="3">
        <v>1</v>
      </c>
      <c r="G43">
        <v>7500</v>
      </c>
      <c r="H43">
        <f>E43*G43</f>
        <v>7500</v>
      </c>
    </row>
    <row r="44" spans="1:18" x14ac:dyDescent="0.3">
      <c r="A44" s="3"/>
      <c r="D44" t="s">
        <v>9</v>
      </c>
      <c r="H44" s="12">
        <f>SUM(H16:H43)</f>
        <v>471624.5</v>
      </c>
      <c r="L44" s="12"/>
      <c r="N44" s="12"/>
      <c r="P44" s="12"/>
      <c r="R44" s="12"/>
    </row>
    <row r="45" spans="1:18" x14ac:dyDescent="0.3">
      <c r="A45" s="3">
        <v>20</v>
      </c>
      <c r="B45" t="s">
        <v>58</v>
      </c>
      <c r="D45" t="s">
        <v>59</v>
      </c>
      <c r="E45" s="3">
        <f>G3</f>
        <v>2</v>
      </c>
      <c r="G45" s="7">
        <v>12000</v>
      </c>
      <c r="H45">
        <f>E45*G45</f>
        <v>24000</v>
      </c>
    </row>
    <row r="46" spans="1:18" x14ac:dyDescent="0.3">
      <c r="A46" s="3">
        <v>21</v>
      </c>
      <c r="B46" t="s">
        <v>85</v>
      </c>
      <c r="E46" s="3">
        <v>1</v>
      </c>
      <c r="G46">
        <v>12000</v>
      </c>
      <c r="H46">
        <f>E46*G46</f>
        <v>12000</v>
      </c>
    </row>
    <row r="47" spans="1:18" x14ac:dyDescent="0.3">
      <c r="A47" s="3">
        <v>22</v>
      </c>
      <c r="B47" t="s">
        <v>86</v>
      </c>
      <c r="E47" s="3">
        <v>1</v>
      </c>
      <c r="G47" s="12">
        <f>H44*5%</f>
        <v>23581.225000000002</v>
      </c>
      <c r="H47" s="12">
        <f>E47*G47</f>
        <v>23581.225000000002</v>
      </c>
      <c r="K47" s="12"/>
      <c r="L47" s="12"/>
      <c r="M47" s="12"/>
      <c r="N47" s="12"/>
      <c r="O47" s="12"/>
      <c r="P47" s="12"/>
      <c r="Q47" s="12"/>
      <c r="R47" s="12"/>
    </row>
    <row r="48" spans="1:18" x14ac:dyDescent="0.3">
      <c r="D48" t="s">
        <v>9</v>
      </c>
      <c r="H48" s="12">
        <f>H44+H45+H46+H47</f>
        <v>531205.72499999998</v>
      </c>
      <c r="L48" s="12"/>
      <c r="N48" s="12"/>
      <c r="P48" s="12"/>
      <c r="R48" s="12"/>
    </row>
    <row r="49" spans="2:18" x14ac:dyDescent="0.3">
      <c r="B49" t="s">
        <v>2</v>
      </c>
      <c r="E49" s="14">
        <v>0.2</v>
      </c>
      <c r="H49" s="12">
        <f>H48*20%</f>
        <v>106241.145</v>
      </c>
      <c r="L49" s="12"/>
      <c r="N49" s="12"/>
      <c r="P49" s="12"/>
      <c r="R49" s="12"/>
    </row>
    <row r="50" spans="2:18" x14ac:dyDescent="0.3">
      <c r="B50" t="s">
        <v>3</v>
      </c>
      <c r="H50" s="12">
        <f>H49+H48</f>
        <v>637446.87</v>
      </c>
      <c r="L50" s="12"/>
      <c r="N50" s="12"/>
      <c r="P50" s="12"/>
      <c r="R50" s="12"/>
    </row>
    <row r="51" spans="2:18" x14ac:dyDescent="0.3">
      <c r="J51" t="s">
        <v>19</v>
      </c>
      <c r="K51" t="s">
        <v>19</v>
      </c>
    </row>
  </sheetData>
  <mergeCells count="9">
    <mergeCell ref="T22:X22"/>
    <mergeCell ref="W15:X15"/>
    <mergeCell ref="Q15:R15"/>
    <mergeCell ref="G15:H15"/>
    <mergeCell ref="K15:L15"/>
    <mergeCell ref="M15:N15"/>
    <mergeCell ref="O15:P15"/>
    <mergeCell ref="K14:L14"/>
    <mergeCell ref="M14:N1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2026-06-07T18:06:30Z</dcterms:modified>
</cp:coreProperties>
</file>