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/>
  </bookViews>
  <sheets>
    <sheet name="nv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K18" i="1" l="1"/>
  <c r="K19" i="1"/>
  <c r="K20" i="1"/>
  <c r="L20" i="1" s="1"/>
  <c r="K21" i="1"/>
  <c r="K22" i="1"/>
  <c r="K26" i="1"/>
  <c r="K27" i="1"/>
  <c r="K28" i="1"/>
  <c r="K29" i="1"/>
  <c r="K39" i="1"/>
  <c r="K40" i="1"/>
  <c r="K41" i="1"/>
  <c r="K43" i="1"/>
  <c r="K44" i="1"/>
  <c r="K45" i="1"/>
  <c r="K46" i="1"/>
  <c r="K47" i="1"/>
  <c r="G23" i="1"/>
  <c r="K23" i="1" l="1"/>
  <c r="G30" i="1"/>
  <c r="G24" i="1"/>
  <c r="K24" i="1" l="1"/>
  <c r="K30" i="1"/>
  <c r="D32" i="1"/>
  <c r="G42" i="1" l="1"/>
  <c r="G17" i="1"/>
  <c r="G16" i="1"/>
  <c r="K16" i="1" l="1"/>
  <c r="K17" i="1"/>
  <c r="L17" i="1" s="1"/>
  <c r="K42" i="1"/>
  <c r="G37" i="1"/>
  <c r="G36" i="1"/>
  <c r="G34" i="1"/>
  <c r="G33" i="1"/>
  <c r="J10" i="1"/>
  <c r="J9" i="1"/>
  <c r="J8" i="1"/>
  <c r="J7" i="1"/>
  <c r="J6" i="1"/>
  <c r="J5" i="1"/>
  <c r="J4" i="1"/>
  <c r="G25" i="1" s="1"/>
  <c r="J3" i="1"/>
  <c r="J2" i="1"/>
  <c r="K37" i="1" l="1"/>
  <c r="K33" i="1"/>
  <c r="K25" i="1"/>
  <c r="K34" i="1"/>
  <c r="L34" i="1" s="1"/>
  <c r="K36" i="1"/>
  <c r="L36" i="1" s="1"/>
  <c r="L19" i="1"/>
  <c r="G38" i="1"/>
  <c r="G35" i="1"/>
  <c r="G32" i="1"/>
  <c r="L24" i="1"/>
  <c r="D43" i="1"/>
  <c r="C42" i="1"/>
  <c r="L14" i="1"/>
  <c r="L42" i="1"/>
  <c r="E40" i="1"/>
  <c r="E46" i="1"/>
  <c r="L16" i="1"/>
  <c r="L44" i="1"/>
  <c r="L39" i="1"/>
  <c r="L26" i="1"/>
  <c r="L47" i="1"/>
  <c r="L30" i="1"/>
  <c r="K38" i="1" l="1"/>
  <c r="L38" i="1" s="1"/>
  <c r="K35" i="1"/>
  <c r="L35" i="1" s="1"/>
  <c r="K32" i="1"/>
  <c r="E28" i="1"/>
  <c r="E17" i="1"/>
  <c r="E18" i="1" s="1"/>
  <c r="L25" i="1"/>
  <c r="L32" i="1"/>
  <c r="L27" i="1"/>
  <c r="L46" i="1"/>
  <c r="L37" i="1"/>
  <c r="L21" i="1"/>
  <c r="L22" i="1"/>
  <c r="L43" i="1"/>
  <c r="L23" i="1"/>
  <c r="D34" i="1"/>
  <c r="D35" i="1"/>
  <c r="D36" i="1"/>
  <c r="E29" i="1"/>
  <c r="E16" i="1"/>
  <c r="L40" i="1"/>
  <c r="L28" i="1" l="1"/>
  <c r="E31" i="1"/>
  <c r="G31" i="1" s="1"/>
  <c r="L29" i="1"/>
  <c r="L41" i="1"/>
  <c r="K31" i="1" l="1"/>
  <c r="L33" i="1"/>
  <c r="L31" i="1" l="1"/>
  <c r="L45" i="1" s="1"/>
  <c r="K48" i="1" l="1"/>
  <c r="L48" i="1" s="1"/>
  <c r="L49" i="1" s="1"/>
  <c r="L51" i="1" s="1"/>
  <c r="G48" i="1"/>
</calcChain>
</file>

<file path=xl/sharedStrings.xml><?xml version="1.0" encoding="utf-8"?>
<sst xmlns="http://schemas.openxmlformats.org/spreadsheetml/2006/main" count="143" uniqueCount="115">
  <si>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</si>
  <si>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</si>
  <si>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</si>
  <si>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</si>
  <si>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</si>
  <si>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</si>
  <si>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</si>
  <si>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</si>
  <si>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</si>
  <si>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</si>
  <si>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</si>
  <si>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SSGearless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</si>
  <si>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</si>
  <si>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</si>
  <si>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</si>
  <si>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</si>
  <si>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</si>
  <si>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</si>
  <si>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</si>
  <si>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</si>
  <si>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</si>
  <si>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</si>
  <si>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ss</t>
  </si>
  <si>
    <t>sv</t>
  </si>
  <si>
    <t>granite</t>
  </si>
  <si>
    <t>gearless</t>
  </si>
  <si>
    <t>&amp; channel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</si>
  <si>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</si>
  <si>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</si>
  <si>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</si>
  <si>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</si>
  <si>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</si>
  <si>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</si>
  <si>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</si>
  <si>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</si>
  <si>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</si>
  <si>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</si>
  <si>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</si>
  <si>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</si>
  <si>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</si>
  <si>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</si>
  <si>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</si>
  <si>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</si>
  <si>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</si>
  <si>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</si>
  <si>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</si>
  <si>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</si>
  <si>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</si>
  <si>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</si>
  <si>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</si>
  <si>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</si>
  <si>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</si>
  <si>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</si>
  <si>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</si>
  <si>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</si>
  <si>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</si>
  <si>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</si>
  <si>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</si>
  <si>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</si>
  <si>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</si>
  <si>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</si>
  <si>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</si>
  <si>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</si>
  <si>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</si>
  <si>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</si>
  <si>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</si>
  <si>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</si>
  <si>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</si>
  <si>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</si>
  <si>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</si>
  <si>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</si>
  <si>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</si>
  <si>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</si>
  <si>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</si>
  <si>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</si>
  <si>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</si>
  <si>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</si>
  <si>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</si>
  <si>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</si>
  <si>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</si>
  <si>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</si>
  <si>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</si>
  <si>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</si>
  <si>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</si>
  <si>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</si>
  <si>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</si>
  <si>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</si>
  <si>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</si>
  <si>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</si>
  <si>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</si>
  <si>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</si>
  <si>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</si>
  <si>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</si>
  <si>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</si>
  <si>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</si>
  <si>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</si>
  <si>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</si>
  <si>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</si>
  <si>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</si>
  <si>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</si>
  <si>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</si>
  <si>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</si>
  <si>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</si>
  <si>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</si>
  <si>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</si>
  <si>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9mm &amp; 16mm</t>
  </si>
  <si>
    <t>rope wala</t>
  </si>
  <si>
    <t>10hp closeloop</t>
  </si>
  <si>
    <t>upto 900mm</t>
  </si>
  <si>
    <t>seg 30,8mm,7rope</t>
  </si>
  <si>
    <t>progessive Gearless Safety</t>
  </si>
  <si>
    <t>pit ladder &amp; car top railing</t>
  </si>
  <si>
    <t xml:space="preserve">Installation local </t>
  </si>
  <si>
    <t>outstation add 10000</t>
  </si>
  <si>
    <t>1.2mm Hairline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</si>
</sst>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0" fillId="0" borderId="0" xfId="0" applyFill="1" applyBorder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3" fillId="2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zoomScale="110" zoomScaleNormal="110" workbookViewId="0">
      <selection activeCell="D19" sqref="D19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4" customWidth="1"/>
    <col min="6" max="6" width="6.81640625" style="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style="13" customWidth="1"/>
    <col min="13" max="13" width="7" customWidth="1"/>
    <col min="14" max="14" width="12.36328125" customWidth="1"/>
    <col min="15" max="15" width="11.26953125" customWidth="1"/>
    <col min="16" max="16" width="14.1796875" customWidth="1"/>
  </cols>
  <sheetData>
    <row r="1" spans="1:18" x14ac:dyDescent="0.35">
      <c r="F1" s="17" t="s">
        <v>101</v>
      </c>
      <c r="H1" s="3" t="s">
        <v>0</v>
      </c>
      <c r="I1" s="3" t="s">
        <v>69</v>
      </c>
      <c r="J1" s="3" t="s">
        <v>81</v>
      </c>
      <c r="K1" s="2" t="s">
        <v>29</v>
      </c>
      <c r="L1" s="2">
        <v>1600</v>
      </c>
      <c r="M1" t="s">
        <v>20</v>
      </c>
      <c r="N1" s="3" t="s">
        <v>48</v>
      </c>
      <c r="O1" s="3" t="s">
        <v>49</v>
      </c>
      <c r="P1" s="3" t="s">
        <v>50</v>
      </c>
    </row>
    <row r="2" spans="1:18" x14ac:dyDescent="0.35">
      <c r="B2" t="s">
        <v>73</v>
      </c>
      <c r="E2" s="4" t="s">
        <v>20</v>
      </c>
      <c r="G2" s="4">
        <v>15</v>
      </c>
      <c r="H2" s="3" t="s">
        <v>15</v>
      </c>
      <c r="I2" s="6">
        <v>2</v>
      </c>
      <c r="J2" s="3">
        <f>7500+500+1550+2450+2000</f>
        <v>14000</v>
      </c>
      <c r="K2" s="2" t="s">
        <v>30</v>
      </c>
      <c r="L2" s="2">
        <v>0</v>
      </c>
      <c r="N2" s="6">
        <v>2</v>
      </c>
      <c r="O2" s="3" t="s">
        <v>43</v>
      </c>
      <c r="P2" s="6">
        <v>4</v>
      </c>
    </row>
    <row r="3" spans="1:18" x14ac:dyDescent="0.35">
      <c r="B3" t="s">
        <v>69</v>
      </c>
      <c r="E3" s="4" t="s">
        <v>20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K3" s="2" t="s">
        <v>31</v>
      </c>
      <c r="L3" s="2">
        <v>3800</v>
      </c>
      <c r="N3" s="6">
        <v>3</v>
      </c>
      <c r="O3" s="3" t="s">
        <v>44</v>
      </c>
      <c r="P3" s="6">
        <v>5</v>
      </c>
    </row>
    <row r="4" spans="1:18" x14ac:dyDescent="0.35">
      <c r="B4" t="s">
        <v>74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 s="2" t="s">
        <v>32</v>
      </c>
      <c r="L4" s="2">
        <v>3800</v>
      </c>
      <c r="N4" s="6">
        <v>3</v>
      </c>
      <c r="O4" s="3" t="s">
        <v>45</v>
      </c>
      <c r="P4" s="6">
        <v>6</v>
      </c>
    </row>
    <row r="5" spans="1:18" x14ac:dyDescent="0.35">
      <c r="B5" t="s">
        <v>75</v>
      </c>
      <c r="G5" t="s">
        <v>25</v>
      </c>
      <c r="H5" s="3" t="s">
        <v>8</v>
      </c>
      <c r="I5" s="6">
        <v>5</v>
      </c>
      <c r="J5" s="3">
        <f>8550+1250+1550+2450+1850*3+2000</f>
        <v>21350</v>
      </c>
      <c r="K5" s="2" t="s">
        <v>33</v>
      </c>
      <c r="L5" s="2">
        <v>3900</v>
      </c>
      <c r="N5" s="6">
        <v>4</v>
      </c>
      <c r="O5" s="3" t="s">
        <v>46</v>
      </c>
      <c r="P5" s="6">
        <v>7</v>
      </c>
    </row>
    <row r="6" spans="1:18" x14ac:dyDescent="0.35">
      <c r="B6" t="s">
        <v>76</v>
      </c>
      <c r="G6" t="s">
        <v>22</v>
      </c>
      <c r="H6" s="3" t="s">
        <v>9</v>
      </c>
      <c r="I6" s="6">
        <v>6</v>
      </c>
      <c r="J6" s="3">
        <f>8900+1500+1550+2450+1850*4+2000</f>
        <v>23800</v>
      </c>
      <c r="K6" s="2" t="s">
        <v>34</v>
      </c>
      <c r="L6" s="2">
        <v>0</v>
      </c>
      <c r="N6" s="6">
        <v>4</v>
      </c>
      <c r="O6" s="3" t="s">
        <v>47</v>
      </c>
      <c r="P6" s="6">
        <v>8</v>
      </c>
    </row>
    <row r="7" spans="1:18" x14ac:dyDescent="0.35">
      <c r="B7" t="s">
        <v>77</v>
      </c>
      <c r="G7" t="s">
        <v>22</v>
      </c>
      <c r="H7" s="3" t="s">
        <v>16</v>
      </c>
      <c r="I7" s="6">
        <v>7</v>
      </c>
      <c r="J7" s="3">
        <f>9250+1750+1550+2450+1850*5+2000</f>
        <v>26250</v>
      </c>
      <c r="K7" s="2" t="s">
        <v>35</v>
      </c>
      <c r="L7" s="2">
        <v>0</v>
      </c>
    </row>
    <row r="8" spans="1:18" x14ac:dyDescent="0.35">
      <c r="B8" t="s">
        <v>78</v>
      </c>
      <c r="G8" t="s">
        <v>23</v>
      </c>
      <c r="H8" s="3" t="s">
        <v>17</v>
      </c>
      <c r="I8" s="6">
        <v>8</v>
      </c>
      <c r="J8" s="3">
        <f>9600+2000+1550+2450+1850*6+2000</f>
        <v>28700</v>
      </c>
      <c r="K8" s="2" t="s">
        <v>36</v>
      </c>
      <c r="L8" s="2">
        <v>0</v>
      </c>
      <c r="N8" s="4" t="s">
        <v>20</v>
      </c>
      <c r="P8" s="4"/>
    </row>
    <row r="9" spans="1:18" x14ac:dyDescent="0.35">
      <c r="B9" t="s">
        <v>79</v>
      </c>
      <c r="D9" t="s">
        <v>20</v>
      </c>
      <c r="G9">
        <v>700</v>
      </c>
      <c r="H9" s="3" t="s">
        <v>18</v>
      </c>
      <c r="I9" s="6">
        <v>9</v>
      </c>
      <c r="J9" s="3">
        <f>9950+2250+1550+2450+1850*7+2000</f>
        <v>31150</v>
      </c>
      <c r="K9" s="2" t="s">
        <v>37</v>
      </c>
      <c r="L9" s="2">
        <v>0</v>
      </c>
      <c r="N9" s="7" t="s">
        <v>20</v>
      </c>
      <c r="P9" s="4"/>
    </row>
    <row r="10" spans="1:18" x14ac:dyDescent="0.35">
      <c r="B10" t="s">
        <v>80</v>
      </c>
      <c r="D10" t="s">
        <v>20</v>
      </c>
      <c r="G10" t="s">
        <v>24</v>
      </c>
      <c r="H10" s="3" t="s">
        <v>19</v>
      </c>
      <c r="I10" s="6">
        <v>10</v>
      </c>
      <c r="J10" s="3">
        <f>10300+2500+1550+2450+1850*8+2000</f>
        <v>33600</v>
      </c>
      <c r="K10" s="2" t="s">
        <v>38</v>
      </c>
      <c r="L10" s="2">
        <v>0</v>
      </c>
      <c r="P10" s="4"/>
    </row>
    <row r="11" spans="1:18" x14ac:dyDescent="0.35">
      <c r="D11" t="s">
        <v>20</v>
      </c>
      <c r="K11" s="2" t="s">
        <v>39</v>
      </c>
      <c r="L11" s="2">
        <v>0</v>
      </c>
      <c r="P11" s="4"/>
    </row>
    <row r="12" spans="1:18" x14ac:dyDescent="0.35">
      <c r="K12" s="2" t="s">
        <v>40</v>
      </c>
      <c r="L12" s="2">
        <v>0</v>
      </c>
      <c r="P12" s="4"/>
    </row>
    <row r="13" spans="1:18" x14ac:dyDescent="0.35">
      <c r="K13" s="2" t="s">
        <v>41</v>
      </c>
      <c r="L13" s="2">
        <v>4800</v>
      </c>
      <c r="P13" s="4"/>
    </row>
    <row r="14" spans="1:18" x14ac:dyDescent="0.35">
      <c r="K14" s="2" t="s">
        <v>42</v>
      </c>
      <c r="L14" s="2">
        <f>SUM(L1:L13)</f>
        <v>17900</v>
      </c>
      <c r="P14" s="4"/>
    </row>
    <row r="15" spans="1:18" s="8" customFormat="1" x14ac:dyDescent="0.35">
      <c r="A15" s="8" t="s">
        <v>14</v>
      </c>
      <c r="B15" s="8" t="s">
        <v>13</v>
      </c>
      <c r="D15" s="8" t="s">
        <v>12</v>
      </c>
      <c r="E15" s="9" t="s">
        <v>5</v>
      </c>
      <c r="F15" s="9" t="s">
        <v>28</v>
      </c>
      <c r="G15" s="21" t="s">
        <v>20</v>
      </c>
      <c r="H15" s="21"/>
      <c r="I15" s="21" t="s">
        <v>20</v>
      </c>
      <c r="J15" s="21"/>
      <c r="K15" s="23" t="s">
        <v>11</v>
      </c>
      <c r="L15" s="23"/>
      <c r="P15" s="9"/>
      <c r="Q15" s="21"/>
      <c r="R15" s="21"/>
    </row>
    <row r="16" spans="1:18" x14ac:dyDescent="0.35">
      <c r="A16" s="4">
        <v>1</v>
      </c>
      <c r="B16" t="s">
        <v>82</v>
      </c>
      <c r="C16" t="s">
        <v>105</v>
      </c>
      <c r="D16" t="s">
        <v>27</v>
      </c>
      <c r="E16" s="12">
        <f>(L14/5000)*2</f>
        <v>7.16</v>
      </c>
      <c r="F16" s="12">
        <v>8</v>
      </c>
      <c r="G16" s="13">
        <f>3500+4500+200</f>
        <v>8200</v>
      </c>
      <c r="H16" s="15"/>
      <c r="J16" s="15"/>
      <c r="K16" s="13">
        <f>G16</f>
        <v>8200</v>
      </c>
      <c r="L16" s="14">
        <f>F16*K16</f>
        <v>65600</v>
      </c>
      <c r="P16" s="4"/>
    </row>
    <row r="17" spans="1:18" x14ac:dyDescent="0.35">
      <c r="A17" s="4">
        <v>2</v>
      </c>
      <c r="B17" t="s">
        <v>54</v>
      </c>
      <c r="C17" t="s">
        <v>52</v>
      </c>
      <c r="D17" t="s">
        <v>51</v>
      </c>
      <c r="E17" s="12">
        <f>((L14-900)/2000)+2</f>
        <v>10.5</v>
      </c>
      <c r="F17" s="5">
        <v>11</v>
      </c>
      <c r="G17" s="20">
        <f>1550+400</f>
        <v>1950</v>
      </c>
      <c r="H17" s="15"/>
      <c r="J17" s="15"/>
      <c r="K17" s="13">
        <f t="shared" ref="K17:K47" si="0">G17</f>
        <v>1950</v>
      </c>
      <c r="L17" s="14">
        <f>K17*F17</f>
        <v>21450</v>
      </c>
      <c r="N17" t="s">
        <v>53</v>
      </c>
      <c r="P17" s="4"/>
    </row>
    <row r="18" spans="1:18" x14ac:dyDescent="0.35">
      <c r="A18" s="4"/>
      <c r="B18" t="s">
        <v>111</v>
      </c>
      <c r="C18" t="s">
        <v>20</v>
      </c>
      <c r="D18" t="s">
        <v>20</v>
      </c>
      <c r="E18" s="12">
        <f>E17</f>
        <v>10.5</v>
      </c>
      <c r="F18" s="5">
        <v>11</v>
      </c>
      <c r="G18" s="16">
        <f>3000+6000</f>
        <v>9000</v>
      </c>
      <c r="H18" s="15"/>
      <c r="K18" s="13">
        <f t="shared" si="0"/>
        <v>9000</v>
      </c>
      <c r="L18" s="14">
        <v>9000</v>
      </c>
      <c r="N18" t="s">
        <v>55</v>
      </c>
      <c r="P18" s="4"/>
    </row>
    <row r="19" spans="1:18" x14ac:dyDescent="0.35">
      <c r="A19" s="4">
        <v>3</v>
      </c>
      <c r="B19" t="s">
        <v>83</v>
      </c>
      <c r="C19" t="s">
        <v>56</v>
      </c>
      <c r="D19" s="13" t="s">
        <v>114</v>
      </c>
      <c r="E19" s="4">
        <v>1</v>
      </c>
      <c r="G19" s="13">
        <v>110000</v>
      </c>
      <c r="I19" s="13"/>
      <c r="K19" s="13">
        <f t="shared" si="0"/>
        <v>110000</v>
      </c>
      <c r="L19" s="13">
        <f>E19*K19</f>
        <v>110000</v>
      </c>
      <c r="M19" t="s">
        <v>20</v>
      </c>
      <c r="P19" s="4"/>
    </row>
    <row r="20" spans="1:18" x14ac:dyDescent="0.35">
      <c r="A20" s="4" t="s">
        <v>20</v>
      </c>
      <c r="B20" t="s">
        <v>84</v>
      </c>
      <c r="D20" t="s">
        <v>106</v>
      </c>
      <c r="E20" s="4">
        <v>1</v>
      </c>
      <c r="G20">
        <v>13000</v>
      </c>
      <c r="K20" s="13">
        <f t="shared" si="0"/>
        <v>13000</v>
      </c>
      <c r="L20" s="13">
        <f>K20*E21</f>
        <v>13000</v>
      </c>
    </row>
    <row r="21" spans="1:18" x14ac:dyDescent="0.35">
      <c r="A21" s="4"/>
      <c r="B21" t="s">
        <v>67</v>
      </c>
      <c r="E21" s="4">
        <v>1</v>
      </c>
      <c r="G21" s="13">
        <v>3500</v>
      </c>
      <c r="K21" s="13">
        <f t="shared" si="0"/>
        <v>3500</v>
      </c>
      <c r="L21" s="13">
        <f>K21*E21</f>
        <v>3500</v>
      </c>
    </row>
    <row r="22" spans="1:18" x14ac:dyDescent="0.35">
      <c r="A22" s="4"/>
      <c r="B22" t="s">
        <v>100</v>
      </c>
      <c r="E22" s="4">
        <v>1</v>
      </c>
      <c r="G22" s="13">
        <v>6000</v>
      </c>
      <c r="K22" s="13">
        <f t="shared" si="0"/>
        <v>6000</v>
      </c>
      <c r="L22" s="13">
        <f>K22*E22</f>
        <v>6000</v>
      </c>
    </row>
    <row r="23" spans="1:18" x14ac:dyDescent="0.35">
      <c r="A23" s="4">
        <v>4</v>
      </c>
      <c r="B23" t="s">
        <v>85</v>
      </c>
      <c r="D23" t="s">
        <v>107</v>
      </c>
      <c r="E23" s="4">
        <v>1</v>
      </c>
      <c r="G23">
        <f>72500+1500+6800+4200</f>
        <v>85000</v>
      </c>
      <c r="K23" s="13">
        <f t="shared" si="0"/>
        <v>85000</v>
      </c>
      <c r="L23" s="13">
        <f>E23*K23</f>
        <v>85000</v>
      </c>
      <c r="N23" s="22" t="s">
        <v>70</v>
      </c>
      <c r="O23" s="22"/>
      <c r="P23" s="22"/>
      <c r="Q23" s="22"/>
      <c r="R23" s="22"/>
    </row>
    <row r="24" spans="1:18" x14ac:dyDescent="0.35">
      <c r="A24" s="4">
        <v>5</v>
      </c>
      <c r="B24" t="s">
        <v>21</v>
      </c>
      <c r="E24" s="4">
        <v>1</v>
      </c>
      <c r="G24" s="13">
        <f>26000+500+1500</f>
        <v>28000</v>
      </c>
      <c r="K24" s="13">
        <f t="shared" si="0"/>
        <v>28000</v>
      </c>
      <c r="L24" s="13">
        <f>E24*K24</f>
        <v>28000</v>
      </c>
    </row>
    <row r="25" spans="1:18" x14ac:dyDescent="0.35">
      <c r="A25" s="4">
        <v>5</v>
      </c>
      <c r="B25" t="s">
        <v>0</v>
      </c>
      <c r="E25" s="4">
        <v>1</v>
      </c>
      <c r="G25" s="1">
        <f>VLOOKUP(G3,I1:J10,2,0)+1500</f>
        <v>20400</v>
      </c>
      <c r="K25" s="13">
        <f t="shared" si="0"/>
        <v>20400</v>
      </c>
      <c r="L25" s="13">
        <f>E25*K25</f>
        <v>20400</v>
      </c>
    </row>
    <row r="26" spans="1:18" x14ac:dyDescent="0.35">
      <c r="A26" s="4">
        <v>16</v>
      </c>
      <c r="B26" t="s">
        <v>86</v>
      </c>
      <c r="D26" t="s">
        <v>104</v>
      </c>
      <c r="E26" s="4">
        <v>1</v>
      </c>
      <c r="G26" s="16">
        <v>136900</v>
      </c>
      <c r="K26" s="13">
        <f t="shared" si="0"/>
        <v>136900</v>
      </c>
      <c r="L26" s="13">
        <f>E26*K26</f>
        <v>136900</v>
      </c>
      <c r="M26" t="s">
        <v>20</v>
      </c>
      <c r="O26" t="s">
        <v>71</v>
      </c>
    </row>
    <row r="27" spans="1:18" x14ac:dyDescent="0.35">
      <c r="A27" s="4"/>
      <c r="B27" t="s">
        <v>58</v>
      </c>
      <c r="E27" s="4">
        <v>1</v>
      </c>
      <c r="G27" s="13">
        <v>5000</v>
      </c>
      <c r="K27" s="13">
        <f t="shared" si="0"/>
        <v>5000</v>
      </c>
      <c r="L27" s="13">
        <f>K27</f>
        <v>5000</v>
      </c>
      <c r="O27" t="s">
        <v>72</v>
      </c>
    </row>
    <row r="28" spans="1:18" x14ac:dyDescent="0.35">
      <c r="A28" s="4">
        <v>6</v>
      </c>
      <c r="B28" t="s">
        <v>87</v>
      </c>
      <c r="C28" t="s">
        <v>109</v>
      </c>
      <c r="D28" t="s">
        <v>59</v>
      </c>
      <c r="E28" s="10">
        <f>(((L14/1000)*2)+2)*7</f>
        <v>264.59999999999997</v>
      </c>
      <c r="F28" s="11"/>
      <c r="G28">
        <v>77</v>
      </c>
      <c r="H28" s="15"/>
      <c r="J28" s="15"/>
      <c r="K28" s="13">
        <f t="shared" si="0"/>
        <v>77</v>
      </c>
      <c r="L28" s="14">
        <f>K28*E28</f>
        <v>20374.199999999997</v>
      </c>
    </row>
    <row r="29" spans="1:18" x14ac:dyDescent="0.35">
      <c r="A29" s="4">
        <v>7</v>
      </c>
      <c r="B29" t="s">
        <v>88</v>
      </c>
      <c r="C29" t="s">
        <v>60</v>
      </c>
      <c r="D29" t="s">
        <v>68</v>
      </c>
      <c r="E29" s="10">
        <f>((L14+3000+3000)/1000)*4</f>
        <v>95.6</v>
      </c>
      <c r="F29" s="11"/>
      <c r="G29" s="13">
        <v>128</v>
      </c>
      <c r="H29" s="15"/>
      <c r="J29" s="15"/>
      <c r="K29" s="13">
        <f t="shared" si="0"/>
        <v>128</v>
      </c>
      <c r="L29" s="14">
        <f>E29*K29</f>
        <v>12236.8</v>
      </c>
    </row>
    <row r="30" spans="1:18" x14ac:dyDescent="0.35">
      <c r="A30" s="4">
        <v>8</v>
      </c>
      <c r="B30" t="s">
        <v>110</v>
      </c>
      <c r="E30" s="4">
        <v>1</v>
      </c>
      <c r="G30" s="13">
        <f>80000+30000</f>
        <v>110000</v>
      </c>
      <c r="K30" s="13">
        <f t="shared" si="0"/>
        <v>110000</v>
      </c>
      <c r="L30" s="13">
        <f>E30*K30</f>
        <v>110000</v>
      </c>
    </row>
    <row r="31" spans="1:18" x14ac:dyDescent="0.35">
      <c r="A31" s="4">
        <v>9</v>
      </c>
      <c r="B31" t="s">
        <v>89</v>
      </c>
      <c r="D31" t="s">
        <v>61</v>
      </c>
      <c r="E31" s="4">
        <f>E28/4</f>
        <v>66.149999999999991</v>
      </c>
      <c r="G31" s="15">
        <f>(E31*G28)+13900+1000</f>
        <v>19993.55</v>
      </c>
      <c r="H31" s="15"/>
      <c r="I31" s="15"/>
      <c r="J31" s="15"/>
      <c r="K31" s="14">
        <f t="shared" si="0"/>
        <v>19993.55</v>
      </c>
      <c r="L31" s="14">
        <f>K31</f>
        <v>19993.55</v>
      </c>
    </row>
    <row r="32" spans="1:18" x14ac:dyDescent="0.35">
      <c r="A32" s="4">
        <v>10</v>
      </c>
      <c r="B32" t="s">
        <v>90</v>
      </c>
      <c r="D32" s="14">
        <f>15.5*55*(25+2)</f>
        <v>23017.5</v>
      </c>
      <c r="E32" s="4">
        <v>1</v>
      </c>
      <c r="G32" s="15">
        <f>D32</f>
        <v>23017.5</v>
      </c>
      <c r="H32" s="15"/>
      <c r="I32" s="15"/>
      <c r="J32" s="15"/>
      <c r="K32" s="14">
        <f t="shared" si="0"/>
        <v>23017.5</v>
      </c>
      <c r="L32" s="14">
        <f>E32*K32</f>
        <v>23017.5</v>
      </c>
      <c r="M32" t="s">
        <v>20</v>
      </c>
      <c r="O32" t="s">
        <v>62</v>
      </c>
    </row>
    <row r="33" spans="1:14" x14ac:dyDescent="0.35">
      <c r="A33" s="4">
        <v>11</v>
      </c>
      <c r="B33" t="s">
        <v>91</v>
      </c>
      <c r="E33" s="4">
        <v>1</v>
      </c>
      <c r="G33" s="13">
        <f>4500</f>
        <v>4500</v>
      </c>
      <c r="K33" s="13">
        <f t="shared" si="0"/>
        <v>4500</v>
      </c>
      <c r="L33" s="13">
        <f>E33*K33</f>
        <v>4500</v>
      </c>
    </row>
    <row r="34" spans="1:14" ht="16.5" customHeight="1" x14ac:dyDescent="0.35">
      <c r="A34" s="4">
        <v>12</v>
      </c>
      <c r="B34" t="s">
        <v>92</v>
      </c>
      <c r="C34" t="s">
        <v>63</v>
      </c>
      <c r="D34" s="18">
        <f>L14/1000+10+10</f>
        <v>37.9</v>
      </c>
      <c r="E34" s="19">
        <v>1</v>
      </c>
      <c r="F34" s="5">
        <v>38</v>
      </c>
      <c r="G34" s="16">
        <f>50+2</f>
        <v>52</v>
      </c>
      <c r="H34" s="15"/>
      <c r="K34" s="13">
        <f t="shared" si="0"/>
        <v>52</v>
      </c>
      <c r="L34" s="13">
        <f>K34*F34</f>
        <v>1976</v>
      </c>
    </row>
    <row r="35" spans="1:14" ht="16.5" customHeight="1" x14ac:dyDescent="0.35">
      <c r="A35" s="4">
        <v>12</v>
      </c>
      <c r="B35" t="s">
        <v>92</v>
      </c>
      <c r="C35" t="s">
        <v>64</v>
      </c>
      <c r="D35" s="18">
        <f>(L14/1000)+G3*3+13</f>
        <v>42.9</v>
      </c>
      <c r="E35" s="19">
        <v>1</v>
      </c>
      <c r="F35" s="5">
        <v>43</v>
      </c>
      <c r="G35">
        <f>67+2</f>
        <v>69</v>
      </c>
      <c r="H35" s="15"/>
      <c r="K35" s="13">
        <f t="shared" si="0"/>
        <v>69</v>
      </c>
      <c r="L35" s="13">
        <f>K35*F35</f>
        <v>2967</v>
      </c>
    </row>
    <row r="36" spans="1:14" ht="16.5" customHeight="1" x14ac:dyDescent="0.35">
      <c r="A36" s="4">
        <v>12</v>
      </c>
      <c r="B36" t="s">
        <v>92</v>
      </c>
      <c r="C36" t="s">
        <v>65</v>
      </c>
      <c r="D36" s="18">
        <f>((L14/1000)+5)+G3*2+(L14/1000*8)</f>
        <v>174.1</v>
      </c>
      <c r="E36" s="19">
        <v>1</v>
      </c>
      <c r="F36" s="5">
        <v>175</v>
      </c>
      <c r="G36">
        <f>20+3</f>
        <v>23</v>
      </c>
      <c r="H36" s="15"/>
      <c r="J36" s="15"/>
      <c r="K36" s="13">
        <f t="shared" si="0"/>
        <v>23</v>
      </c>
      <c r="L36" s="14">
        <f>K36*F36</f>
        <v>4025</v>
      </c>
    </row>
    <row r="37" spans="1:14" ht="16.5" customHeight="1" x14ac:dyDescent="0.35">
      <c r="A37" s="4">
        <v>12</v>
      </c>
      <c r="B37" t="s">
        <v>92</v>
      </c>
      <c r="C37" t="s">
        <v>103</v>
      </c>
      <c r="D37" s="18">
        <v>50</v>
      </c>
      <c r="E37" s="19">
        <v>1</v>
      </c>
      <c r="F37" s="5">
        <v>50</v>
      </c>
      <c r="G37">
        <f>35+2.2</f>
        <v>37.200000000000003</v>
      </c>
      <c r="H37" s="15"/>
      <c r="K37" s="13">
        <f t="shared" si="0"/>
        <v>37.200000000000003</v>
      </c>
      <c r="L37" s="13">
        <f>K37*F37</f>
        <v>1860.0000000000002</v>
      </c>
    </row>
    <row r="38" spans="1:14" ht="16.5" customHeight="1" x14ac:dyDescent="0.35">
      <c r="A38" s="4">
        <v>12</v>
      </c>
      <c r="B38" t="s">
        <v>92</v>
      </c>
      <c r="C38" t="s">
        <v>102</v>
      </c>
      <c r="D38" s="18">
        <v>50</v>
      </c>
      <c r="E38" s="19">
        <v>1</v>
      </c>
      <c r="F38" s="5">
        <v>50</v>
      </c>
      <c r="G38">
        <f>25+2</f>
        <v>27</v>
      </c>
      <c r="H38" s="15"/>
      <c r="K38" s="13">
        <f t="shared" si="0"/>
        <v>27</v>
      </c>
      <c r="L38" s="13">
        <f>K38*F38</f>
        <v>1350</v>
      </c>
    </row>
    <row r="39" spans="1:14" s="8" customFormat="1" x14ac:dyDescent="0.35">
      <c r="A39" s="9">
        <v>13</v>
      </c>
      <c r="B39" s="8" t="s">
        <v>93</v>
      </c>
      <c r="D39" s="8" t="s">
        <v>108</v>
      </c>
      <c r="E39" s="4">
        <v>1</v>
      </c>
      <c r="F39" s="9"/>
      <c r="G39" s="8">
        <v>50062</v>
      </c>
      <c r="K39" s="13">
        <f t="shared" si="0"/>
        <v>50062</v>
      </c>
      <c r="L39" s="1">
        <f>E39*K39</f>
        <v>50062</v>
      </c>
      <c r="M39" s="8" t="s">
        <v>20</v>
      </c>
    </row>
    <row r="40" spans="1:14" s="8" customFormat="1" x14ac:dyDescent="0.35">
      <c r="A40" s="9">
        <v>14</v>
      </c>
      <c r="B40" s="8" t="s">
        <v>94</v>
      </c>
      <c r="D40" s="8" t="s">
        <v>108</v>
      </c>
      <c r="E40" s="9">
        <f>G3</f>
        <v>4</v>
      </c>
      <c r="F40" s="9"/>
      <c r="G40" s="8">
        <v>24702</v>
      </c>
      <c r="K40" s="13">
        <f t="shared" si="0"/>
        <v>24702</v>
      </c>
      <c r="L40" s="1">
        <f>E40*K40</f>
        <v>98808</v>
      </c>
      <c r="M40" s="8" t="s">
        <v>20</v>
      </c>
    </row>
    <row r="41" spans="1:14" x14ac:dyDescent="0.35">
      <c r="A41" s="4">
        <v>17</v>
      </c>
      <c r="B41" t="s">
        <v>1</v>
      </c>
      <c r="C41" s="8" t="s">
        <v>26</v>
      </c>
      <c r="E41" s="4">
        <v>1</v>
      </c>
      <c r="G41" s="13">
        <v>25000</v>
      </c>
      <c r="K41" s="13">
        <f t="shared" si="0"/>
        <v>25000</v>
      </c>
      <c r="L41" s="13">
        <f>K41*E41</f>
        <v>25000</v>
      </c>
      <c r="N41" t="s">
        <v>66</v>
      </c>
    </row>
    <row r="42" spans="1:14" x14ac:dyDescent="0.35">
      <c r="A42" s="4">
        <v>18</v>
      </c>
      <c r="B42" t="s">
        <v>95</v>
      </c>
      <c r="C42">
        <f>1500+1500+1000+1000</f>
        <v>5000</v>
      </c>
      <c r="D42" t="s">
        <v>99</v>
      </c>
      <c r="E42" s="4">
        <v>1</v>
      </c>
      <c r="G42">
        <f>7000</f>
        <v>7000</v>
      </c>
      <c r="I42" s="8"/>
      <c r="K42" s="13">
        <f t="shared" si="0"/>
        <v>7000</v>
      </c>
      <c r="L42" s="13">
        <f>E42*K42</f>
        <v>7000</v>
      </c>
    </row>
    <row r="43" spans="1:14" x14ac:dyDescent="0.35">
      <c r="A43" s="4"/>
      <c r="B43" t="s">
        <v>57</v>
      </c>
      <c r="D43">
        <f>2000+1000+2000</f>
        <v>5000</v>
      </c>
      <c r="E43" s="4">
        <v>1</v>
      </c>
      <c r="G43">
        <v>7000</v>
      </c>
      <c r="I43" s="8"/>
      <c r="K43" s="13">
        <f t="shared" si="0"/>
        <v>7000</v>
      </c>
      <c r="L43" s="13">
        <f>K43*E43</f>
        <v>7000</v>
      </c>
    </row>
    <row r="44" spans="1:14" x14ac:dyDescent="0.35">
      <c r="A44" s="4">
        <v>19</v>
      </c>
      <c r="B44" t="s">
        <v>96</v>
      </c>
      <c r="E44" s="4">
        <v>1</v>
      </c>
      <c r="G44">
        <v>10000</v>
      </c>
      <c r="K44" s="13">
        <f t="shared" si="0"/>
        <v>10000</v>
      </c>
      <c r="L44" s="13">
        <f>E44*K44</f>
        <v>10000</v>
      </c>
    </row>
    <row r="45" spans="1:14" x14ac:dyDescent="0.35">
      <c r="A45" s="4"/>
      <c r="D45" t="s">
        <v>10</v>
      </c>
      <c r="H45" s="15"/>
      <c r="J45" s="15"/>
      <c r="K45" s="13">
        <f t="shared" si="0"/>
        <v>0</v>
      </c>
      <c r="L45" s="14">
        <f>SUM(L16:L44)</f>
        <v>904020.05</v>
      </c>
    </row>
    <row r="46" spans="1:14" x14ac:dyDescent="0.35">
      <c r="A46" s="4">
        <v>20</v>
      </c>
      <c r="B46" t="s">
        <v>112</v>
      </c>
      <c r="D46" t="s">
        <v>113</v>
      </c>
      <c r="E46" s="4">
        <f>G3</f>
        <v>4</v>
      </c>
      <c r="G46" s="13">
        <v>14000</v>
      </c>
      <c r="I46" s="8"/>
      <c r="K46" s="13">
        <f t="shared" si="0"/>
        <v>14000</v>
      </c>
      <c r="L46" s="13">
        <f>E46*K46</f>
        <v>56000</v>
      </c>
    </row>
    <row r="47" spans="1:14" x14ac:dyDescent="0.35">
      <c r="A47" s="4">
        <v>21</v>
      </c>
      <c r="B47" t="s">
        <v>97</v>
      </c>
      <c r="E47" s="4">
        <v>1</v>
      </c>
      <c r="G47">
        <v>12000</v>
      </c>
      <c r="K47" s="13">
        <f t="shared" si="0"/>
        <v>12000</v>
      </c>
      <c r="L47" s="13">
        <f>E47*K47</f>
        <v>12000</v>
      </c>
    </row>
    <row r="48" spans="1:14" x14ac:dyDescent="0.35">
      <c r="A48" s="4">
        <v>22</v>
      </c>
      <c r="B48" t="s">
        <v>98</v>
      </c>
      <c r="E48" s="4">
        <v>1</v>
      </c>
      <c r="G48" s="15">
        <f>H45*5%</f>
        <v>0</v>
      </c>
      <c r="H48" s="15"/>
      <c r="I48" s="15"/>
      <c r="J48" s="15"/>
      <c r="K48" s="14">
        <f>L45*5%</f>
        <v>45201.002500000002</v>
      </c>
      <c r="L48" s="14">
        <f>E48*K48</f>
        <v>45201.002500000002</v>
      </c>
    </row>
    <row r="49" spans="2:12" x14ac:dyDescent="0.35">
      <c r="D49" t="s">
        <v>10</v>
      </c>
      <c r="H49" s="15"/>
      <c r="J49" s="15"/>
      <c r="L49" s="14">
        <f>L45+L46+L47+L48</f>
        <v>1017221.0525</v>
      </c>
    </row>
    <row r="50" spans="2:12" x14ac:dyDescent="0.35">
      <c r="B50" t="s">
        <v>2</v>
      </c>
      <c r="H50" s="15"/>
      <c r="J50" s="15"/>
      <c r="L50" s="14">
        <v>120000</v>
      </c>
    </row>
    <row r="51" spans="2:12" x14ac:dyDescent="0.35">
      <c r="B51" t="s">
        <v>3</v>
      </c>
      <c r="H51" s="15"/>
      <c r="J51" s="15"/>
      <c r="L51" s="14">
        <f>L50+L49</f>
        <v>1137221.0525</v>
      </c>
    </row>
    <row r="52" spans="2:12" x14ac:dyDescent="0.35">
      <c r="B52" t="s">
        <v>4</v>
      </c>
      <c r="J52" t="s">
        <v>20</v>
      </c>
      <c r="L52" s="13" t="s">
        <v>20</v>
      </c>
    </row>
  </sheetData>
  <mergeCells count="5">
    <mergeCell ref="G15:H15"/>
    <mergeCell ref="I15:J15"/>
    <mergeCell ref="N23:R23"/>
    <mergeCell ref="Q15:R15"/>
    <mergeCell ref="K15:L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2026-04-29T09:26:16Z</dcterms:modified>
</cp:coreProperties>
</file>