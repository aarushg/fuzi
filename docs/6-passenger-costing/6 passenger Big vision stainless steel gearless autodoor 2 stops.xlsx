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fuzi costing\"/>
    </mc:Choice>
  </mc:AlternateContent>
  <xr:revisionPtr revIDLastSave="0" documentId="13_ncr:1_{C50904DD-A86F-4D5C-99F3-71FCBEADF6E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v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3" l="1"/>
  <c r="G39" i="3"/>
  <c r="G37" i="3"/>
  <c r="G36" i="3"/>
  <c r="G35" i="3"/>
  <c r="G34" i="3"/>
  <c r="G33" i="3"/>
  <c r="G31" i="3"/>
  <c r="G25" i="3"/>
  <c r="G23" i="3"/>
  <c r="G22" i="3"/>
  <c r="G17" i="3"/>
  <c r="G16" i="3"/>
  <c r="G24" i="3"/>
  <c r="E45" i="3" l="1"/>
  <c r="H43" i="3"/>
  <c r="D42" i="3"/>
  <c r="C41" i="3"/>
  <c r="E39" i="3"/>
  <c r="H38" i="3"/>
  <c r="H36" i="3"/>
  <c r="H33" i="3"/>
  <c r="D31" i="3"/>
  <c r="H29" i="3"/>
  <c r="H25" i="3"/>
  <c r="H20" i="3"/>
  <c r="H19" i="3"/>
  <c r="H18" i="3"/>
  <c r="H17" i="3"/>
  <c r="R14" i="3"/>
  <c r="D35" i="3" s="1"/>
  <c r="J10" i="3"/>
  <c r="J9" i="3"/>
  <c r="J8" i="3"/>
  <c r="J7" i="3"/>
  <c r="J6" i="3"/>
  <c r="J5" i="3"/>
  <c r="J4" i="3"/>
  <c r="J3" i="3"/>
  <c r="J2" i="3"/>
  <c r="D34" i="3" l="1"/>
  <c r="H34" i="3"/>
  <c r="D33" i="3"/>
  <c r="H41" i="3"/>
  <c r="E16" i="3"/>
  <c r="E27" i="3"/>
  <c r="E28" i="3"/>
  <c r="H39" i="3"/>
  <c r="H24" i="3"/>
  <c r="H42" i="3"/>
  <c r="H46" i="3"/>
  <c r="H22" i="3"/>
  <c r="H26" i="3"/>
  <c r="H31" i="3"/>
  <c r="H16" i="3"/>
  <c r="H40" i="3"/>
  <c r="H45" i="3"/>
  <c r="H28" i="3"/>
  <c r="H35" i="3"/>
  <c r="H37" i="3"/>
  <c r="H23" i="3"/>
  <c r="E30" i="3" l="1"/>
  <c r="G30" i="3" s="1"/>
  <c r="H27" i="3"/>
  <c r="H21" i="3"/>
  <c r="H32" i="3"/>
  <c r="H30" i="3" l="1"/>
  <c r="H44" i="3" s="1"/>
  <c r="G47" i="3" s="1"/>
  <c r="H47" i="3" s="1"/>
  <c r="H48" i="3" s="1"/>
  <c r="H49" i="3" l="1"/>
  <c r="H50" i="3" s="1"/>
</calcChain>
</file>

<file path=xl/sharedStrings.xml><?xml version="1.0" encoding="utf-8"?>
<sst xmlns="http://schemas.openxmlformats.org/spreadsheetml/2006/main" count="113" uniqueCount="96">
  <si>
    <t>LOP/COP</t>
  </si>
  <si>
    <t>OTHER</t>
  </si>
  <si>
    <t>OUR MARGIN</t>
  </si>
  <si>
    <t>FINAL OFFER</t>
  </si>
  <si>
    <t>QTY</t>
  </si>
  <si>
    <t>G+2</t>
  </si>
  <si>
    <t>G+3</t>
  </si>
  <si>
    <t>G+4</t>
  </si>
  <si>
    <t>G+5</t>
  </si>
  <si>
    <t>TOTAL</t>
  </si>
  <si>
    <t>SSGearless Auto Door</t>
  </si>
  <si>
    <t>Unit</t>
  </si>
  <si>
    <t>Item</t>
  </si>
  <si>
    <t>S.No.</t>
  </si>
  <si>
    <t>G+1</t>
  </si>
  <si>
    <t>G+6</t>
  </si>
  <si>
    <t>G+7</t>
  </si>
  <si>
    <t>G+8</t>
  </si>
  <si>
    <t>G+9</t>
  </si>
  <si>
    <t xml:space="preserve"> </t>
  </si>
  <si>
    <t>ARD (UPS) with battery</t>
  </si>
  <si>
    <t>centre</t>
  </si>
  <si>
    <t>ss</t>
  </si>
  <si>
    <t>co</t>
  </si>
  <si>
    <t>pvc</t>
  </si>
  <si>
    <t>&amp; channel</t>
  </si>
  <si>
    <t>Purchase+100</t>
  </si>
  <si>
    <t>Actual</t>
  </si>
  <si>
    <t>Pit</t>
  </si>
  <si>
    <t>B to G</t>
  </si>
  <si>
    <t>G to1</t>
  </si>
  <si>
    <t>1 to 2</t>
  </si>
  <si>
    <t>2 to 3</t>
  </si>
  <si>
    <t>3 to 4</t>
  </si>
  <si>
    <t>4 to5</t>
  </si>
  <si>
    <t>5 to6</t>
  </si>
  <si>
    <t>6 to7</t>
  </si>
  <si>
    <t>7to8</t>
  </si>
  <si>
    <t>8to9</t>
  </si>
  <si>
    <t>9to10</t>
  </si>
  <si>
    <t>overhead</t>
  </si>
  <si>
    <t>Total</t>
  </si>
  <si>
    <t xml:space="preserve">Bracket </t>
  </si>
  <si>
    <t>95 per kg</t>
  </si>
  <si>
    <t>Comb (Side Counter300mm) angle</t>
  </si>
  <si>
    <t>ss handrail+fan/blower</t>
  </si>
  <si>
    <t>loading &amp; Unloading</t>
  </si>
  <si>
    <t>Motor Hosting</t>
  </si>
  <si>
    <t>5hp closeloop</t>
  </si>
  <si>
    <t>rate+2</t>
  </si>
  <si>
    <t>seg 10,8mm,4rope</t>
  </si>
  <si>
    <t>flat 12 core,.7mm</t>
  </si>
  <si>
    <t>4000+rope+sos&amp;clip</t>
  </si>
  <si>
    <t>limit switch, 6 core,.5mm</t>
  </si>
  <si>
    <t>lop,cop,car top 12 core,.5mm</t>
  </si>
  <si>
    <t>lock,lop,firman alaram, car top,2core,.5mm</t>
  </si>
  <si>
    <t>Cabin Packing Charges</t>
  </si>
  <si>
    <t>rate+4</t>
  </si>
  <si>
    <t>Installation local 10000</t>
  </si>
  <si>
    <t>outstation 12500</t>
  </si>
  <si>
    <t>Stops</t>
  </si>
  <si>
    <t>Passenger/Goods</t>
  </si>
  <si>
    <t>Speed</t>
  </si>
  <si>
    <t>Geared/Gearless</t>
  </si>
  <si>
    <t>Car Construction</t>
  </si>
  <si>
    <t>Door Construction</t>
  </si>
  <si>
    <t>Door Type</t>
  </si>
  <si>
    <t>Door Size</t>
  </si>
  <si>
    <t>Flooring</t>
  </si>
  <si>
    <t>Rate</t>
  </si>
  <si>
    <t xml:space="preserve">Guide rail </t>
  </si>
  <si>
    <t>Car cabin</t>
  </si>
  <si>
    <t>Overload</t>
  </si>
  <si>
    <t>Controller with Drive +DBR</t>
  </si>
  <si>
    <t>Motor</t>
  </si>
  <si>
    <t>Rope</t>
  </si>
  <si>
    <t>Cable</t>
  </si>
  <si>
    <t>OSG with rope</t>
  </si>
  <si>
    <t>Weight counter with granite floor</t>
  </si>
  <si>
    <t>Sensor door</t>
  </si>
  <si>
    <t>Wiring</t>
  </si>
  <si>
    <t>Car Door</t>
  </si>
  <si>
    <t>Landing Door</t>
  </si>
  <si>
    <t>Freight</t>
  </si>
  <si>
    <t>Scafolding</t>
  </si>
  <si>
    <t>Commissioing</t>
  </si>
  <si>
    <t xml:space="preserve">Warranty </t>
  </si>
  <si>
    <t>9mm &amp; 5mm</t>
  </si>
  <si>
    <t>(outstation 10000)</t>
  </si>
  <si>
    <t>Cabin inward Transport &amp; local Freight</t>
  </si>
  <si>
    <t>upto 800mm</t>
  </si>
  <si>
    <t>.75mm for break 2core .5mm</t>
  </si>
  <si>
    <t>2.5mm, flexable, motor</t>
  </si>
  <si>
    <t>gearless</t>
  </si>
  <si>
    <t>seg 10</t>
  </si>
  <si>
    <t>Gearless Safety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</si>
</sst>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2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2" fontId="0" fillId="2" borderId="0" xfId="0" applyNumberFormat="1" applyFill="1" applyAlignment="1">
      <alignment horizontal="center"/>
    </xf>
    <xf numFmtId="0" fontId="0" fillId="2" borderId="0" xfId="0" applyFill="1"/>
    <xf numFmtId="1" fontId="0" fillId="0" borderId="0" xfId="0" applyNumberFormat="1"/>
    <xf numFmtId="164" fontId="0" fillId="0" borderId="0" xfId="0" applyNumberFormat="1"/>
    <xf numFmtId="0" fontId="2" fillId="0" borderId="0" xfId="0" applyFont="1"/>
    <xf numFmtId="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78"/>
  <sheetViews>
    <sheetView tabSelected="1" topLeftCell="A22" workbookViewId="0">
      <selection activeCell="B30" sqref="B30"/>
    </sheetView>
  </sheetViews>
  <sheetFormatPr defaultRowHeight="14.4" x14ac:dyDescent="0.3"/>
  <cols>
    <col min="3" max="3" width="20.33203125" customWidth="1"/>
    <col min="4" max="4" width="17.5546875" customWidth="1"/>
    <col min="5" max="5" width="19.21875" style="3" customWidth="1"/>
    <col min="6" max="6" width="6.77734375" style="3" customWidth="1"/>
    <col min="7" max="7" width="8" customWidth="1"/>
    <col min="8" max="8" width="12.77734375" customWidth="1"/>
    <col min="9" max="9" width="9.21875" customWidth="1"/>
    <col min="10" max="10" width="10.5546875" customWidth="1"/>
    <col min="11" max="12" width="12" customWidth="1"/>
    <col min="13" max="14" width="11.21875" customWidth="1"/>
    <col min="15" max="16" width="12.77734375" customWidth="1"/>
    <col min="17" max="18" width="12" style="12" customWidth="1"/>
    <col min="19" max="19" width="7" customWidth="1"/>
    <col min="20" max="20" width="12.33203125" customWidth="1"/>
    <col min="21" max="21" width="11.21875" customWidth="1"/>
    <col min="22" max="22" width="14.21875" customWidth="1"/>
  </cols>
  <sheetData>
    <row r="1" spans="1:24" x14ac:dyDescent="0.3">
      <c r="H1" s="2" t="s">
        <v>0</v>
      </c>
      <c r="I1" s="2" t="s">
        <v>60</v>
      </c>
      <c r="J1" s="2" t="s">
        <v>69</v>
      </c>
      <c r="Q1" s="1" t="s">
        <v>28</v>
      </c>
      <c r="R1" s="1">
        <v>1600</v>
      </c>
    </row>
    <row r="2" spans="1:24" x14ac:dyDescent="0.3">
      <c r="B2" t="s">
        <v>61</v>
      </c>
      <c r="E2" s="3" t="s">
        <v>19</v>
      </c>
      <c r="G2" s="3">
        <v>6</v>
      </c>
      <c r="H2" s="2" t="s">
        <v>14</v>
      </c>
      <c r="I2" s="5">
        <v>2</v>
      </c>
      <c r="J2" s="2">
        <f>7500+500+1550+2450+2000</f>
        <v>14000</v>
      </c>
      <c r="Q2" s="1" t="s">
        <v>29</v>
      </c>
      <c r="R2" s="1">
        <v>0</v>
      </c>
      <c r="T2" s="3"/>
      <c r="V2" s="3"/>
    </row>
    <row r="3" spans="1:24" x14ac:dyDescent="0.3">
      <c r="B3" t="s">
        <v>60</v>
      </c>
      <c r="E3" s="3" t="s">
        <v>19</v>
      </c>
      <c r="G3" s="4">
        <v>2</v>
      </c>
      <c r="H3" s="2" t="s">
        <v>5</v>
      </c>
      <c r="I3" s="5">
        <v>3</v>
      </c>
      <c r="J3" s="2">
        <f>7850+750+1550+2450+1850+2000</f>
        <v>16450</v>
      </c>
      <c r="Q3" s="1" t="s">
        <v>30</v>
      </c>
      <c r="R3" s="1">
        <v>4000</v>
      </c>
      <c r="T3" s="3"/>
      <c r="V3" s="3"/>
    </row>
    <row r="4" spans="1:24" x14ac:dyDescent="0.3">
      <c r="B4" t="s">
        <v>62</v>
      </c>
      <c r="E4" s="3">
        <v>1</v>
      </c>
      <c r="G4" s="3"/>
      <c r="H4" s="2" t="s">
        <v>6</v>
      </c>
      <c r="I4" s="5">
        <v>4</v>
      </c>
      <c r="J4" s="2">
        <f>8200+1000+1550+2450+1850*2+2000</f>
        <v>18900</v>
      </c>
      <c r="Q4" s="1" t="s">
        <v>31</v>
      </c>
      <c r="R4" s="1">
        <v>0</v>
      </c>
      <c r="T4" s="3"/>
      <c r="V4" s="3"/>
    </row>
    <row r="5" spans="1:24" x14ac:dyDescent="0.3">
      <c r="B5" t="s">
        <v>63</v>
      </c>
      <c r="E5" s="3" t="s">
        <v>93</v>
      </c>
      <c r="H5" s="2" t="s">
        <v>7</v>
      </c>
      <c r="I5" s="5">
        <v>5</v>
      </c>
      <c r="J5" s="2">
        <f>8550+1250+1550+2450+1850*3+2000</f>
        <v>21350</v>
      </c>
      <c r="Q5" s="1" t="s">
        <v>32</v>
      </c>
      <c r="R5" s="1">
        <v>0</v>
      </c>
      <c r="T5" s="3"/>
      <c r="V5" s="3"/>
    </row>
    <row r="6" spans="1:24" x14ac:dyDescent="0.3">
      <c r="B6" t="s">
        <v>64</v>
      </c>
      <c r="E6" s="3" t="s">
        <v>22</v>
      </c>
      <c r="H6" s="2" t="s">
        <v>8</v>
      </c>
      <c r="I6" s="5">
        <v>6</v>
      </c>
      <c r="J6" s="2">
        <f>8900+1500+1550+2450+1850*4+2000</f>
        <v>23800</v>
      </c>
      <c r="Q6" s="1" t="s">
        <v>33</v>
      </c>
      <c r="R6" s="1">
        <v>0</v>
      </c>
      <c r="T6" s="3"/>
      <c r="V6" s="3"/>
    </row>
    <row r="7" spans="1:24" x14ac:dyDescent="0.3">
      <c r="B7" t="s">
        <v>65</v>
      </c>
      <c r="E7" s="3" t="s">
        <v>22</v>
      </c>
      <c r="H7" s="2" t="s">
        <v>15</v>
      </c>
      <c r="I7" s="5">
        <v>7</v>
      </c>
      <c r="J7" s="2">
        <f>9250+1750+1550+2450+1850*5+2000</f>
        <v>26250</v>
      </c>
      <c r="Q7" s="1" t="s">
        <v>34</v>
      </c>
      <c r="R7" s="1">
        <v>0</v>
      </c>
    </row>
    <row r="8" spans="1:24" x14ac:dyDescent="0.3">
      <c r="B8" t="s">
        <v>66</v>
      </c>
      <c r="E8" s="3" t="s">
        <v>23</v>
      </c>
      <c r="H8" s="2" t="s">
        <v>16</v>
      </c>
      <c r="I8" s="5">
        <v>8</v>
      </c>
      <c r="J8" s="2">
        <f>9600+2000+1550+2450+1850*6+2000</f>
        <v>28700</v>
      </c>
      <c r="Q8" s="1" t="s">
        <v>35</v>
      </c>
      <c r="R8" s="1">
        <v>0</v>
      </c>
      <c r="T8" s="3"/>
      <c r="V8" s="3"/>
    </row>
    <row r="9" spans="1:24" x14ac:dyDescent="0.3">
      <c r="B9" t="s">
        <v>67</v>
      </c>
      <c r="D9" t="s">
        <v>19</v>
      </c>
      <c r="E9" s="3" t="s">
        <v>21</v>
      </c>
      <c r="H9" s="2" t="s">
        <v>17</v>
      </c>
      <c r="I9" s="5">
        <v>9</v>
      </c>
      <c r="J9" s="2">
        <f>9950+2250+1550+2450+1850*7+2000</f>
        <v>31150</v>
      </c>
      <c r="Q9" s="1" t="s">
        <v>36</v>
      </c>
      <c r="R9" s="1">
        <v>0</v>
      </c>
      <c r="T9" s="6"/>
      <c r="V9" s="3"/>
    </row>
    <row r="10" spans="1:24" x14ac:dyDescent="0.3">
      <c r="B10" t="s">
        <v>68</v>
      </c>
      <c r="D10" t="s">
        <v>19</v>
      </c>
      <c r="E10" s="3" t="s">
        <v>24</v>
      </c>
      <c r="H10" s="2" t="s">
        <v>18</v>
      </c>
      <c r="I10" s="5">
        <v>10</v>
      </c>
      <c r="J10" s="2">
        <f>10300+2500+1550+2450+1850*8+2000</f>
        <v>33600</v>
      </c>
      <c r="K10" s="6"/>
      <c r="Q10" s="1" t="s">
        <v>37</v>
      </c>
      <c r="R10" s="1">
        <v>0</v>
      </c>
      <c r="V10" s="3"/>
    </row>
    <row r="11" spans="1:24" x14ac:dyDescent="0.3">
      <c r="D11" t="s">
        <v>19</v>
      </c>
      <c r="K11" s="6"/>
      <c r="Q11" s="1" t="s">
        <v>38</v>
      </c>
      <c r="R11" s="1">
        <v>0</v>
      </c>
      <c r="V11" s="3"/>
    </row>
    <row r="12" spans="1:24" x14ac:dyDescent="0.3">
      <c r="K12" s="6"/>
      <c r="Q12" s="1" t="s">
        <v>39</v>
      </c>
      <c r="R12" s="1">
        <v>0</v>
      </c>
      <c r="V12" s="3"/>
    </row>
    <row r="13" spans="1:24" x14ac:dyDescent="0.3">
      <c r="K13" s="6"/>
      <c r="Q13" s="1" t="s">
        <v>40</v>
      </c>
      <c r="R13" s="1">
        <v>4800</v>
      </c>
      <c r="V13" s="3"/>
    </row>
    <row r="14" spans="1:24" x14ac:dyDescent="0.3">
      <c r="K14" s="17"/>
      <c r="L14" s="17"/>
      <c r="M14" s="17"/>
      <c r="N14" s="17"/>
      <c r="Q14" s="1" t="s">
        <v>41</v>
      </c>
      <c r="R14" s="1">
        <f>SUM(R1:R13)</f>
        <v>10400</v>
      </c>
      <c r="V14" s="3"/>
    </row>
    <row r="15" spans="1:24" s="7" customFormat="1" x14ac:dyDescent="0.3">
      <c r="A15" s="7" t="s">
        <v>13</v>
      </c>
      <c r="B15" s="7" t="s">
        <v>12</v>
      </c>
      <c r="D15" s="7" t="s">
        <v>11</v>
      </c>
      <c r="E15" s="8" t="s">
        <v>4</v>
      </c>
      <c r="F15" s="8" t="s">
        <v>27</v>
      </c>
      <c r="G15" s="18" t="s">
        <v>10</v>
      </c>
      <c r="H15" s="18"/>
      <c r="I15" s="18"/>
      <c r="J15" s="18"/>
      <c r="K15" s="18"/>
      <c r="L15" s="18"/>
      <c r="M15" s="18"/>
      <c r="N15" s="18"/>
      <c r="O15" s="18"/>
      <c r="P15" s="18"/>
      <c r="V15" s="8"/>
      <c r="W15" s="18"/>
      <c r="X15" s="18"/>
    </row>
    <row r="16" spans="1:24" x14ac:dyDescent="0.3">
      <c r="A16" s="3">
        <v>1</v>
      </c>
      <c r="B16" t="s">
        <v>70</v>
      </c>
      <c r="C16" t="s">
        <v>87</v>
      </c>
      <c r="D16" t="s">
        <v>26</v>
      </c>
      <c r="E16" s="11">
        <f>(R14/5000)*2</f>
        <v>4.16</v>
      </c>
      <c r="F16" s="11">
        <v>5</v>
      </c>
      <c r="G16">
        <f>4800+200</f>
        <v>5000</v>
      </c>
      <c r="H16" s="13">
        <f>F16*G16</f>
        <v>25000</v>
      </c>
      <c r="J16" s="13"/>
      <c r="L16" s="13"/>
      <c r="N16" s="13"/>
      <c r="P16" s="13"/>
      <c r="Q16"/>
      <c r="R16"/>
      <c r="V16" s="3"/>
    </row>
    <row r="17" spans="1:24" x14ac:dyDescent="0.3">
      <c r="A17" s="3"/>
      <c r="B17" t="s">
        <v>42</v>
      </c>
      <c r="C17" t="s">
        <v>43</v>
      </c>
      <c r="D17" t="s">
        <v>44</v>
      </c>
      <c r="E17" s="11">
        <f>((R14-900)/2000)+2</f>
        <v>6.75</v>
      </c>
      <c r="F17" s="4">
        <v>7</v>
      </c>
      <c r="G17">
        <f>1100+250</f>
        <v>1350</v>
      </c>
      <c r="H17" s="13">
        <f>G17*F17</f>
        <v>9450</v>
      </c>
      <c r="O17" s="15"/>
      <c r="P17" s="13"/>
      <c r="Q17"/>
      <c r="R17"/>
      <c r="V17" s="3"/>
    </row>
    <row r="18" spans="1:24" x14ac:dyDescent="0.3">
      <c r="A18" s="3">
        <v>3</v>
      </c>
      <c r="B18" t="s">
        <v>71</v>
      </c>
      <c r="C18" t="s">
        <v>45</v>
      </c>
      <c r="E18" s="3">
        <v>1</v>
      </c>
      <c r="G18">
        <v>75000</v>
      </c>
      <c r="H18">
        <f>E18*G18</f>
        <v>75000</v>
      </c>
      <c r="Q18"/>
      <c r="R18"/>
      <c r="V18" s="3"/>
    </row>
    <row r="19" spans="1:24" x14ac:dyDescent="0.3">
      <c r="A19" s="3" t="s">
        <v>19</v>
      </c>
      <c r="B19" t="s">
        <v>72</v>
      </c>
      <c r="E19" s="3">
        <v>1</v>
      </c>
      <c r="G19">
        <v>4000</v>
      </c>
      <c r="H19">
        <f>E19*G19</f>
        <v>4000</v>
      </c>
      <c r="Q19"/>
      <c r="R19"/>
    </row>
    <row r="20" spans="1:24" x14ac:dyDescent="0.3">
      <c r="A20" s="3"/>
      <c r="B20" t="s">
        <v>56</v>
      </c>
      <c r="E20" s="3">
        <v>1</v>
      </c>
      <c r="G20">
        <v>2500</v>
      </c>
      <c r="H20">
        <f>G20*E20</f>
        <v>2500</v>
      </c>
      <c r="Q20"/>
      <c r="R20"/>
    </row>
    <row r="21" spans="1:24" x14ac:dyDescent="0.3">
      <c r="A21" s="3"/>
      <c r="B21" t="s">
        <v>89</v>
      </c>
      <c r="E21" s="3">
        <v>1</v>
      </c>
      <c r="G21">
        <v>6000</v>
      </c>
      <c r="H21">
        <f>G21*E21</f>
        <v>6000</v>
      </c>
      <c r="Q21"/>
      <c r="R21"/>
    </row>
    <row r="22" spans="1:24" x14ac:dyDescent="0.3">
      <c r="A22" s="3">
        <v>4</v>
      </c>
      <c r="B22" t="s">
        <v>73</v>
      </c>
      <c r="D22" t="s">
        <v>48</v>
      </c>
      <c r="E22" s="3">
        <v>1</v>
      </c>
      <c r="G22">
        <f>55500+1500+6800+4200</f>
        <v>68000</v>
      </c>
      <c r="H22">
        <f>E22*G22</f>
        <v>68000</v>
      </c>
      <c r="Q22"/>
      <c r="R22"/>
      <c r="T22" s="17"/>
      <c r="U22" s="17"/>
      <c r="V22" s="17"/>
      <c r="W22" s="17"/>
      <c r="X22" s="17"/>
    </row>
    <row r="23" spans="1:24" x14ac:dyDescent="0.3">
      <c r="A23" s="3">
        <v>5</v>
      </c>
      <c r="B23" t="s">
        <v>20</v>
      </c>
      <c r="E23" s="3">
        <v>1</v>
      </c>
      <c r="G23">
        <f>12500+500</f>
        <v>13000</v>
      </c>
      <c r="H23">
        <f>E23*G23</f>
        <v>13000</v>
      </c>
      <c r="Q23"/>
      <c r="R23"/>
    </row>
    <row r="24" spans="1:24" x14ac:dyDescent="0.3">
      <c r="A24" s="3">
        <v>5</v>
      </c>
      <c r="B24" t="s">
        <v>0</v>
      </c>
      <c r="E24" s="3">
        <v>1</v>
      </c>
      <c r="G24">
        <f>VLOOKUP(G3,I1:J10,2,0)+3000</f>
        <v>17000</v>
      </c>
      <c r="H24">
        <f>E24*G24</f>
        <v>17000</v>
      </c>
      <c r="Q24"/>
      <c r="R24"/>
    </row>
    <row r="25" spans="1:24" x14ac:dyDescent="0.3">
      <c r="A25" s="3">
        <v>16</v>
      </c>
      <c r="B25" t="s">
        <v>74</v>
      </c>
      <c r="D25" t="s">
        <v>94</v>
      </c>
      <c r="E25" s="3">
        <v>1</v>
      </c>
      <c r="G25">
        <f>75100+2000+2500</f>
        <v>79600</v>
      </c>
      <c r="H25">
        <f>E25*G25</f>
        <v>79600</v>
      </c>
      <c r="Q25"/>
      <c r="R25"/>
    </row>
    <row r="26" spans="1:24" x14ac:dyDescent="0.3">
      <c r="A26" s="3"/>
      <c r="B26" t="s">
        <v>47</v>
      </c>
      <c r="E26" s="3">
        <v>1</v>
      </c>
      <c r="G26">
        <v>2500</v>
      </c>
      <c r="H26">
        <f>G26</f>
        <v>2500</v>
      </c>
      <c r="Q26"/>
      <c r="R26"/>
    </row>
    <row r="27" spans="1:24" x14ac:dyDescent="0.3">
      <c r="A27" s="3">
        <v>6</v>
      </c>
      <c r="B27" t="s">
        <v>75</v>
      </c>
      <c r="C27" t="s">
        <v>50</v>
      </c>
      <c r="D27" t="s">
        <v>49</v>
      </c>
      <c r="E27" s="9">
        <f>(((R14/1000)*2)+2)*4</f>
        <v>91.2</v>
      </c>
      <c r="F27" s="10"/>
      <c r="G27">
        <v>77</v>
      </c>
      <c r="H27" s="13">
        <f>G27*E27</f>
        <v>7022.4000000000005</v>
      </c>
      <c r="J27" s="13"/>
      <c r="L27" s="13"/>
      <c r="N27" s="13"/>
      <c r="P27" s="13"/>
      <c r="Q27"/>
      <c r="R27"/>
    </row>
    <row r="28" spans="1:24" x14ac:dyDescent="0.3">
      <c r="A28" s="3">
        <v>7</v>
      </c>
      <c r="B28" t="s">
        <v>76</v>
      </c>
      <c r="C28" t="s">
        <v>51</v>
      </c>
      <c r="D28" t="s">
        <v>57</v>
      </c>
      <c r="E28" s="9">
        <f>((R14+3000+3000)/1000)*4</f>
        <v>65.599999999999994</v>
      </c>
      <c r="F28" s="10"/>
      <c r="G28">
        <v>128</v>
      </c>
      <c r="H28" s="13">
        <f>E28*G28</f>
        <v>8396.7999999999993</v>
      </c>
      <c r="J28" s="13"/>
      <c r="L28" s="13"/>
      <c r="N28" s="13"/>
      <c r="P28" s="13"/>
      <c r="Q28"/>
      <c r="R28"/>
    </row>
    <row r="29" spans="1:24" x14ac:dyDescent="0.3">
      <c r="A29" s="3">
        <v>8</v>
      </c>
      <c r="B29" t="s">
        <v>95</v>
      </c>
      <c r="E29" s="3">
        <v>1</v>
      </c>
      <c r="G29">
        <v>40000</v>
      </c>
      <c r="H29">
        <f>E29*G29</f>
        <v>40000</v>
      </c>
      <c r="Q29"/>
      <c r="R29"/>
    </row>
    <row r="30" spans="1:24" x14ac:dyDescent="0.3">
      <c r="A30" s="3">
        <v>9</v>
      </c>
      <c r="B30" t="s">
        <v>77</v>
      </c>
      <c r="D30" t="s">
        <v>52</v>
      </c>
      <c r="E30" s="3">
        <f>E27/4</f>
        <v>22.8</v>
      </c>
      <c r="G30" s="13">
        <f>(E30*77)+4000+1000</f>
        <v>6755.6</v>
      </c>
      <c r="H30" s="13">
        <f>G30</f>
        <v>6755.6</v>
      </c>
      <c r="I30" s="13"/>
      <c r="J30" s="13"/>
      <c r="K30" s="13"/>
      <c r="L30" s="13"/>
      <c r="M30" s="13"/>
      <c r="N30" s="13"/>
      <c r="O30" s="13"/>
      <c r="P30" s="13"/>
      <c r="Q30"/>
      <c r="R30"/>
    </row>
    <row r="31" spans="1:24" x14ac:dyDescent="0.3">
      <c r="A31" s="3">
        <v>10</v>
      </c>
      <c r="B31" t="s">
        <v>78</v>
      </c>
      <c r="D31" s="13">
        <f>15.5*38*(15.5+2)</f>
        <v>10307.5</v>
      </c>
      <c r="E31" s="3">
        <v>1</v>
      </c>
      <c r="G31" s="13">
        <f>D31</f>
        <v>10307.5</v>
      </c>
      <c r="H31" s="13">
        <f>E31*G31</f>
        <v>10307.5</v>
      </c>
      <c r="I31" s="13"/>
      <c r="J31" s="13"/>
      <c r="K31" s="13"/>
      <c r="L31" s="13"/>
      <c r="M31" s="13"/>
      <c r="N31" s="13"/>
      <c r="O31" s="13"/>
      <c r="P31" s="13"/>
      <c r="Q31"/>
      <c r="R31"/>
    </row>
    <row r="32" spans="1:24" x14ac:dyDescent="0.3">
      <c r="A32" s="3">
        <v>11</v>
      </c>
      <c r="B32" t="s">
        <v>79</v>
      </c>
      <c r="E32" s="3">
        <v>1</v>
      </c>
      <c r="G32">
        <v>4500</v>
      </c>
      <c r="H32">
        <f>E32*G32</f>
        <v>4500</v>
      </c>
      <c r="Q32"/>
      <c r="R32"/>
    </row>
    <row r="33" spans="1:18" ht="16.5" customHeight="1" x14ac:dyDescent="0.3">
      <c r="A33" s="3">
        <v>12</v>
      </c>
      <c r="B33" t="s">
        <v>80</v>
      </c>
      <c r="C33" t="s">
        <v>53</v>
      </c>
      <c r="D33" s="14">
        <f>R14/1000+10+10</f>
        <v>30.4</v>
      </c>
      <c r="E33" s="3">
        <v>1</v>
      </c>
      <c r="F33" s="4">
        <v>31</v>
      </c>
      <c r="G33">
        <f>50+2</f>
        <v>52</v>
      </c>
      <c r="H33">
        <f>G33*F33</f>
        <v>1612</v>
      </c>
      <c r="Q33"/>
      <c r="R33"/>
    </row>
    <row r="34" spans="1:18" ht="16.5" customHeight="1" x14ac:dyDescent="0.3">
      <c r="A34" s="3">
        <v>12</v>
      </c>
      <c r="B34" t="s">
        <v>80</v>
      </c>
      <c r="C34" t="s">
        <v>54</v>
      </c>
      <c r="D34" s="14">
        <f>(R14/1000)+G3*3+13</f>
        <v>29.4</v>
      </c>
      <c r="E34" s="3">
        <v>1</v>
      </c>
      <c r="F34" s="4">
        <v>30</v>
      </c>
      <c r="G34">
        <f>67+2</f>
        <v>69</v>
      </c>
      <c r="H34">
        <f>G34*F34</f>
        <v>2070</v>
      </c>
      <c r="Q34"/>
      <c r="R34"/>
    </row>
    <row r="35" spans="1:18" ht="16.5" customHeight="1" x14ac:dyDescent="0.3">
      <c r="A35" s="3">
        <v>12</v>
      </c>
      <c r="B35" t="s">
        <v>80</v>
      </c>
      <c r="C35" t="s">
        <v>55</v>
      </c>
      <c r="D35" s="14">
        <f>((R14/1000)+5)+G3*2+(R14/1000*8)</f>
        <v>102.6</v>
      </c>
      <c r="E35" s="3">
        <v>1</v>
      </c>
      <c r="F35" s="4">
        <v>103</v>
      </c>
      <c r="G35">
        <f>20+3</f>
        <v>23</v>
      </c>
      <c r="H35" s="13">
        <f>G35*F35</f>
        <v>2369</v>
      </c>
      <c r="J35" s="13"/>
      <c r="L35" s="13"/>
      <c r="M35" s="13"/>
      <c r="N35" s="13"/>
      <c r="P35" s="13"/>
      <c r="Q35"/>
      <c r="R35"/>
    </row>
    <row r="36" spans="1:18" ht="16.5" customHeight="1" x14ac:dyDescent="0.3">
      <c r="A36" s="3">
        <v>12</v>
      </c>
      <c r="B36" t="s">
        <v>80</v>
      </c>
      <c r="C36" t="s">
        <v>92</v>
      </c>
      <c r="D36" s="14">
        <v>50</v>
      </c>
      <c r="E36" s="3">
        <v>1</v>
      </c>
      <c r="F36" s="4">
        <v>50</v>
      </c>
      <c r="G36">
        <f>35+2.2</f>
        <v>37.200000000000003</v>
      </c>
      <c r="H36">
        <f>G36*F36</f>
        <v>1860.0000000000002</v>
      </c>
      <c r="Q36"/>
      <c r="R36"/>
    </row>
    <row r="37" spans="1:18" ht="16.5" customHeight="1" x14ac:dyDescent="0.3">
      <c r="A37" s="3">
        <v>12</v>
      </c>
      <c r="B37" t="s">
        <v>80</v>
      </c>
      <c r="C37" t="s">
        <v>91</v>
      </c>
      <c r="D37" s="14">
        <v>50</v>
      </c>
      <c r="E37" s="3">
        <v>1</v>
      </c>
      <c r="F37" s="4">
        <v>50</v>
      </c>
      <c r="G37">
        <f>25+2</f>
        <v>27</v>
      </c>
      <c r="H37">
        <f>G37*F37</f>
        <v>1350</v>
      </c>
      <c r="Q37"/>
      <c r="R37"/>
    </row>
    <row r="38" spans="1:18" s="7" customFormat="1" x14ac:dyDescent="0.3">
      <c r="A38" s="8">
        <v>13</v>
      </c>
      <c r="B38" s="7" t="s">
        <v>81</v>
      </c>
      <c r="D38" s="7" t="s">
        <v>90</v>
      </c>
      <c r="E38" s="3">
        <v>1</v>
      </c>
      <c r="F38" s="8"/>
      <c r="G38" s="7">
        <v>57016</v>
      </c>
      <c r="H38" s="7">
        <f>E38*G38</f>
        <v>57016</v>
      </c>
    </row>
    <row r="39" spans="1:18" s="7" customFormat="1" x14ac:dyDescent="0.3">
      <c r="A39" s="8">
        <v>14</v>
      </c>
      <c r="B39" s="7" t="s">
        <v>82</v>
      </c>
      <c r="D39" s="7" t="s">
        <v>90</v>
      </c>
      <c r="E39" s="8">
        <f>G3</f>
        <v>2</v>
      </c>
      <c r="F39" s="8"/>
      <c r="G39" s="7">
        <f>38191+2000</f>
        <v>40191</v>
      </c>
      <c r="H39" s="7">
        <f>E39*G39</f>
        <v>80382</v>
      </c>
    </row>
    <row r="40" spans="1:18" x14ac:dyDescent="0.3">
      <c r="A40" s="3">
        <v>17</v>
      </c>
      <c r="B40" t="s">
        <v>1</v>
      </c>
      <c r="C40" s="7" t="s">
        <v>25</v>
      </c>
      <c r="E40" s="3">
        <v>1</v>
      </c>
      <c r="G40">
        <v>25000</v>
      </c>
      <c r="H40">
        <f>G40*E40</f>
        <v>25000</v>
      </c>
      <c r="Q40"/>
      <c r="R40"/>
    </row>
    <row r="41" spans="1:18" x14ac:dyDescent="0.3">
      <c r="A41" s="3">
        <v>18</v>
      </c>
      <c r="B41" t="s">
        <v>83</v>
      </c>
      <c r="C41">
        <f>1500+1500+1000+1000</f>
        <v>5000</v>
      </c>
      <c r="D41" t="s">
        <v>88</v>
      </c>
      <c r="E41" s="3">
        <v>1</v>
      </c>
      <c r="G41">
        <v>5000</v>
      </c>
      <c r="H41">
        <f>E41*G41</f>
        <v>5000</v>
      </c>
      <c r="I41" s="7"/>
      <c r="Q41"/>
      <c r="R41"/>
    </row>
    <row r="42" spans="1:18" x14ac:dyDescent="0.3">
      <c r="A42" s="3"/>
      <c r="B42" t="s">
        <v>46</v>
      </c>
      <c r="D42">
        <f>2000+1000+2000</f>
        <v>5000</v>
      </c>
      <c r="E42" s="3">
        <v>1</v>
      </c>
      <c r="G42">
        <v>5000</v>
      </c>
      <c r="H42">
        <f>G42*E42</f>
        <v>5000</v>
      </c>
      <c r="I42" s="7"/>
      <c r="Q42"/>
      <c r="R42"/>
    </row>
    <row r="43" spans="1:18" x14ac:dyDescent="0.3">
      <c r="A43" s="3">
        <v>19</v>
      </c>
      <c r="B43" t="s">
        <v>84</v>
      </c>
      <c r="E43" s="3">
        <v>1</v>
      </c>
      <c r="G43">
        <v>7500</v>
      </c>
      <c r="H43">
        <f>E43*G43</f>
        <v>7500</v>
      </c>
      <c r="Q43"/>
      <c r="R43"/>
    </row>
    <row r="44" spans="1:18" x14ac:dyDescent="0.3">
      <c r="A44" s="3"/>
      <c r="D44" t="s">
        <v>9</v>
      </c>
      <c r="H44" s="13">
        <f>SUM(H16:H43)</f>
        <v>568191.30000000005</v>
      </c>
      <c r="J44" s="13"/>
      <c r="L44" s="13"/>
      <c r="N44" s="13"/>
      <c r="P44" s="13"/>
      <c r="Q44"/>
      <c r="R44"/>
    </row>
    <row r="45" spans="1:18" x14ac:dyDescent="0.3">
      <c r="A45" s="3">
        <v>20</v>
      </c>
      <c r="B45" t="s">
        <v>58</v>
      </c>
      <c r="D45" t="s">
        <v>59</v>
      </c>
      <c r="E45" s="3">
        <f>G3</f>
        <v>2</v>
      </c>
      <c r="G45">
        <v>12000</v>
      </c>
      <c r="H45">
        <f>E45*G45</f>
        <v>24000</v>
      </c>
      <c r="I45" s="7"/>
      <c r="Q45"/>
      <c r="R45"/>
    </row>
    <row r="46" spans="1:18" x14ac:dyDescent="0.3">
      <c r="A46" s="3">
        <v>21</v>
      </c>
      <c r="B46" t="s">
        <v>85</v>
      </c>
      <c r="E46" s="3">
        <v>1</v>
      </c>
      <c r="G46">
        <v>12000</v>
      </c>
      <c r="H46">
        <f>E46*G46</f>
        <v>12000</v>
      </c>
      <c r="Q46"/>
      <c r="R46"/>
    </row>
    <row r="47" spans="1:18" x14ac:dyDescent="0.3">
      <c r="A47" s="3">
        <v>22</v>
      </c>
      <c r="B47" t="s">
        <v>86</v>
      </c>
      <c r="E47" s="3">
        <v>1</v>
      </c>
      <c r="G47" s="13">
        <f>H44*5%</f>
        <v>28409.565000000002</v>
      </c>
      <c r="H47" s="13">
        <f>E47*G47</f>
        <v>28409.565000000002</v>
      </c>
      <c r="I47" s="13"/>
      <c r="J47" s="13"/>
      <c r="K47" s="13"/>
      <c r="L47" s="13"/>
      <c r="M47" s="13"/>
      <c r="N47" s="13"/>
      <c r="O47" s="13"/>
      <c r="P47" s="13"/>
      <c r="Q47"/>
      <c r="R47"/>
    </row>
    <row r="48" spans="1:18" x14ac:dyDescent="0.3">
      <c r="D48" t="s">
        <v>9</v>
      </c>
      <c r="H48" s="13">
        <f>H44+H45+H46+H47</f>
        <v>632600.86499999999</v>
      </c>
      <c r="J48" s="13"/>
      <c r="L48" s="13"/>
      <c r="N48" s="13"/>
      <c r="P48" s="13"/>
      <c r="Q48"/>
      <c r="R48"/>
    </row>
    <row r="49" spans="2:18" x14ac:dyDescent="0.3">
      <c r="B49" t="s">
        <v>2</v>
      </c>
      <c r="E49" s="16">
        <v>0.2</v>
      </c>
      <c r="H49" s="13">
        <f>H48*20%</f>
        <v>126520.17300000001</v>
      </c>
      <c r="J49" s="13"/>
      <c r="L49" s="13"/>
      <c r="N49" s="13"/>
      <c r="P49" s="13"/>
      <c r="Q49"/>
      <c r="R49"/>
    </row>
    <row r="50" spans="2:18" x14ac:dyDescent="0.3">
      <c r="B50" t="s">
        <v>3</v>
      </c>
      <c r="H50" s="13">
        <f>H49+H48</f>
        <v>759121.03799999994</v>
      </c>
      <c r="J50" s="13"/>
      <c r="L50" s="13"/>
      <c r="N50" s="13"/>
      <c r="P50" s="13"/>
      <c r="Q50"/>
      <c r="R50"/>
    </row>
    <row r="51" spans="2:18" x14ac:dyDescent="0.3">
      <c r="J51" t="s">
        <v>19</v>
      </c>
      <c r="K51" t="s">
        <v>19</v>
      </c>
      <c r="Q51"/>
      <c r="R51" t="s">
        <v>19</v>
      </c>
    </row>
    <row r="52" spans="2:18" x14ac:dyDescent="0.3">
      <c r="Q52"/>
      <c r="R52"/>
    </row>
    <row r="53" spans="2:18" x14ac:dyDescent="0.3">
      <c r="Q53"/>
      <c r="R53"/>
    </row>
    <row r="54" spans="2:18" x14ac:dyDescent="0.3">
      <c r="Q54"/>
      <c r="R54"/>
    </row>
    <row r="55" spans="2:18" x14ac:dyDescent="0.3">
      <c r="Q55"/>
      <c r="R55"/>
    </row>
    <row r="56" spans="2:18" x14ac:dyDescent="0.3">
      <c r="Q56"/>
      <c r="R56"/>
    </row>
    <row r="57" spans="2:18" x14ac:dyDescent="0.3">
      <c r="Q57"/>
      <c r="R57"/>
    </row>
    <row r="58" spans="2:18" x14ac:dyDescent="0.3">
      <c r="Q58"/>
      <c r="R58"/>
    </row>
    <row r="59" spans="2:18" x14ac:dyDescent="0.3">
      <c r="Q59"/>
      <c r="R59"/>
    </row>
    <row r="60" spans="2:18" x14ac:dyDescent="0.3">
      <c r="Q60"/>
      <c r="R60"/>
    </row>
    <row r="61" spans="2:18" x14ac:dyDescent="0.3">
      <c r="Q61"/>
      <c r="R61"/>
    </row>
    <row r="62" spans="2:18" x14ac:dyDescent="0.3">
      <c r="Q62"/>
      <c r="R62"/>
    </row>
    <row r="63" spans="2:18" x14ac:dyDescent="0.3">
      <c r="Q63"/>
      <c r="R63"/>
    </row>
    <row r="64" spans="2:18" x14ac:dyDescent="0.3">
      <c r="Q64"/>
      <c r="R64"/>
    </row>
    <row r="65" spans="17:18" x14ac:dyDescent="0.3">
      <c r="Q65"/>
      <c r="R65"/>
    </row>
    <row r="66" spans="17:18" x14ac:dyDescent="0.3">
      <c r="Q66"/>
      <c r="R66"/>
    </row>
    <row r="67" spans="17:18" x14ac:dyDescent="0.3">
      <c r="Q67"/>
      <c r="R67"/>
    </row>
    <row r="68" spans="17:18" x14ac:dyDescent="0.3">
      <c r="Q68"/>
      <c r="R68"/>
    </row>
    <row r="69" spans="17:18" x14ac:dyDescent="0.3">
      <c r="Q69"/>
      <c r="R69"/>
    </row>
    <row r="70" spans="17:18" x14ac:dyDescent="0.3">
      <c r="Q70"/>
      <c r="R70"/>
    </row>
    <row r="71" spans="17:18" x14ac:dyDescent="0.3">
      <c r="Q71"/>
      <c r="R71"/>
    </row>
    <row r="72" spans="17:18" x14ac:dyDescent="0.3">
      <c r="Q72"/>
      <c r="R72"/>
    </row>
    <row r="73" spans="17:18" x14ac:dyDescent="0.3">
      <c r="Q73"/>
      <c r="R73"/>
    </row>
    <row r="74" spans="17:18" x14ac:dyDescent="0.3">
      <c r="Q74"/>
      <c r="R74"/>
    </row>
    <row r="75" spans="17:18" x14ac:dyDescent="0.3">
      <c r="Q75"/>
      <c r="R75"/>
    </row>
    <row r="76" spans="17:18" x14ac:dyDescent="0.3">
      <c r="Q76"/>
      <c r="R76"/>
    </row>
    <row r="77" spans="17:18" x14ac:dyDescent="0.3">
      <c r="Q77"/>
      <c r="R77"/>
    </row>
    <row r="78" spans="17:18" x14ac:dyDescent="0.3">
      <c r="Q78"/>
      <c r="R78"/>
    </row>
  </sheetData>
  <mergeCells count="9">
    <mergeCell ref="K14:L14"/>
    <mergeCell ref="M14:N14"/>
    <mergeCell ref="W15:X15"/>
    <mergeCell ref="T22:X22"/>
    <mergeCell ref="G15:H15"/>
    <mergeCell ref="I15:J15"/>
    <mergeCell ref="K15:L15"/>
    <mergeCell ref="M15:N15"/>
    <mergeCell ref="O15:P1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9B92825D29494CBE67A10EF3E13CDC" ma:contentTypeVersion="15" ma:contentTypeDescription="Create a new document." ma:contentTypeScope="" ma:versionID="a66859978372b0684b19a2e18da43cbc">
  <xsd:schema xmlns:xsd="http://www.w3.org/2001/XMLSchema" xmlns:xs="http://www.w3.org/2001/XMLSchema" xmlns:p="http://schemas.microsoft.com/office/2006/metadata/properties" xmlns:ns2="bd7361e3-0e5b-403a-930c-26f242b5f015" xmlns:ns3="3b2cd557-d496-47ef-90d2-8fccf9ca84a5" targetNamespace="http://schemas.microsoft.com/office/2006/metadata/properties" ma:root="true" ma:fieldsID="bd48b302814eaba02f2576be53d9c77c" ns2:_="" ns3:_="">
    <xsd:import namespace="bd7361e3-0e5b-403a-930c-26f242b5f015"/>
    <xsd:import namespace="3b2cd557-d496-47ef-90d2-8fccf9ca84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7361e3-0e5b-403a-930c-26f242b5f0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fdbc524-6c54-40f7-adbf-8e45457d18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2cd557-d496-47ef-90d2-8fccf9ca84a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c33375f-724c-4129-a8ad-c218d0879fd7}" ma:internalName="TaxCatchAll" ma:showField="CatchAllData" ma:web="3b2cd557-d496-47ef-90d2-8fccf9ca84a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9784886-270B-40CE-9E9D-30F38D0804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7361e3-0e5b-403a-930c-26f242b5f015"/>
    <ds:schemaRef ds:uri="3b2cd557-d496-47ef-90d2-8fccf9ca84a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DC4E782-3000-4B7D-A978-109A4D72680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pranav singhal</cp:lastModifiedBy>
  <cp:lastPrinted>2022-10-25T11:00:35Z</cp:lastPrinted>
  <dcterms:created xsi:type="dcterms:W3CDTF">2015-06-05T18:17:20Z</dcterms:created>
  <dcterms:modified xsi:type="dcterms:W3CDTF">2026-06-07T16:23:27Z</dcterms:modified>
</cp:coreProperties>
</file>