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v" sheetId="1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<sst xmlns="http://schemas.openxmlformats.org/spreadsheetml/2006/main" count="129" uniqueCount="129">
  <si>
    <t>LOP/COP</t>
  </si>
  <si>
    <t>Stops</t>
  </si>
  <si>
    <t>Rate</t>
  </si>
  <si>
    <t xml:space="preserve">full serail link</t>
  </si>
  <si>
    <t>Pit</t>
  </si>
  <si>
    <t xml:space="preserve"> </t>
  </si>
  <si>
    <t>stops</t>
  </si>
  <si>
    <t>travel</t>
  </si>
  <si>
    <t xml:space="preserve">Guiderail QTY</t>
  </si>
  <si>
    <t>Passenger/Goods</t>
  </si>
  <si>
    <t>G+1</t>
  </si>
  <si>
    <t xml:space="preserve">B to G</t>
  </si>
  <si>
    <t xml:space="preserve">upto 10000</t>
  </si>
  <si>
    <t>G+2</t>
  </si>
  <si>
    <t xml:space="preserve">G to1</t>
  </si>
  <si>
    <t xml:space="preserve">upto 12500</t>
  </si>
  <si>
    <t>Speed</t>
  </si>
  <si>
    <t>G+3</t>
  </si>
  <si>
    <t xml:space="preserve">1 to 2</t>
  </si>
  <si>
    <t xml:space="preserve">upto 15000</t>
  </si>
  <si>
    <t>Geared/Gearless</t>
  </si>
  <si>
    <t>geared</t>
  </si>
  <si>
    <t>gearless</t>
  </si>
  <si>
    <t>G+4</t>
  </si>
  <si>
    <t xml:space="preserve">2 to 3</t>
  </si>
  <si>
    <t xml:space="preserve">upto 17500</t>
  </si>
  <si>
    <t xml:space="preserve">Car Construction</t>
  </si>
  <si>
    <t>ms</t>
  </si>
  <si>
    <t>ss</t>
  </si>
  <si>
    <t>G+5</t>
  </si>
  <si>
    <t xml:space="preserve">3 to 4</t>
  </si>
  <si>
    <t xml:space="preserve">upto 20000</t>
  </si>
  <si>
    <t xml:space="preserve">Door Construction</t>
  </si>
  <si>
    <t>G+6</t>
  </si>
  <si>
    <t xml:space="preserve">4 to5</t>
  </si>
  <si>
    <t xml:space="preserve">Door Type</t>
  </si>
  <si>
    <t>co</t>
  </si>
  <si>
    <t>sv</t>
  </si>
  <si>
    <t>G+7</t>
  </si>
  <si>
    <t xml:space="preserve">5 to6</t>
  </si>
  <si>
    <t xml:space="preserve">Door Size</t>
  </si>
  <si>
    <t>centre</t>
  </si>
  <si>
    <t>G+8</t>
  </si>
  <si>
    <t xml:space="preserve">6 to7</t>
  </si>
  <si>
    <t>Flooring</t>
  </si>
  <si>
    <t>pvc</t>
  </si>
  <si>
    <t>granite</t>
  </si>
  <si>
    <t>G+9</t>
  </si>
  <si>
    <t>7to8</t>
  </si>
  <si>
    <t>8to9</t>
  </si>
  <si>
    <t>9to10</t>
  </si>
  <si>
    <t>overhead</t>
  </si>
  <si>
    <t>Geared</t>
  </si>
  <si>
    <t>Total</t>
  </si>
  <si>
    <t>S.No.</t>
  </si>
  <si>
    <t>Item</t>
  </si>
  <si>
    <t>Unit</t>
  </si>
  <si>
    <t>QTY</t>
  </si>
  <si>
    <t>Actual</t>
  </si>
  <si>
    <t xml:space="preserve">MS Auto door</t>
  </si>
  <si>
    <t xml:space="preserve">SS Auto Door</t>
  </si>
  <si>
    <t xml:space="preserve">MS Manual door</t>
  </si>
  <si>
    <t xml:space="preserve">SS Manual Door</t>
  </si>
  <si>
    <t xml:space="preserve">MS Gearless Auto Door</t>
  </si>
  <si>
    <t xml:space="preserve">SSGearless Auto Door</t>
  </si>
  <si>
    <t xml:space="preserve">Guide rail </t>
  </si>
  <si>
    <t xml:space="preserve">9mm &amp; 5mm</t>
  </si>
  <si>
    <t>Purchase+100</t>
  </si>
  <si>
    <t xml:space="preserve">Bracket </t>
  </si>
  <si>
    <t xml:space="preserve">95per kg</t>
  </si>
  <si>
    <t xml:space="preserve">GB(Back Counter)</t>
  </si>
  <si>
    <t xml:space="preserve">Car+Counter bracket weight /2</t>
  </si>
  <si>
    <t xml:space="preserve">95 per kg</t>
  </si>
  <si>
    <t xml:space="preserve">Comb (Side Counter300mm) angle</t>
  </si>
  <si>
    <t xml:space="preserve">width upto 1800</t>
  </si>
  <si>
    <t xml:space="preserve">Car cabin</t>
  </si>
  <si>
    <t xml:space="preserve">ss handrail+fan/blower</t>
  </si>
  <si>
    <t>Overload</t>
  </si>
  <si>
    <t xml:space="preserve">Cabin Packing Charges</t>
  </si>
  <si>
    <t xml:space="preserve">Cabin inward Transport &amp; local Freight</t>
  </si>
  <si>
    <t xml:space="preserve">Controlller with Drive +DBR</t>
  </si>
  <si>
    <t xml:space="preserve">5hp openloop</t>
  </si>
  <si>
    <t xml:space="preserve">rate upto 8 stops than 6000 extra upto 16 floors</t>
  </si>
  <si>
    <t xml:space="preserve">Controller with Drive +DBR</t>
  </si>
  <si>
    <t xml:space="preserve">5hp closeloop</t>
  </si>
  <si>
    <t xml:space="preserve">ARD (UPS) with battery</t>
  </si>
  <si>
    <t>Motor</t>
  </si>
  <si>
    <t>ste125</t>
  </si>
  <si>
    <t>seg-10</t>
  </si>
  <si>
    <t xml:space="preserve">geared motor upto 30 mtr&amp; gearless upto 60 mtr</t>
  </si>
  <si>
    <t xml:space="preserve">Motor Hosting</t>
  </si>
  <si>
    <t xml:space="preserve">when no stair 2500 otherwise 2000</t>
  </si>
  <si>
    <t>Rope</t>
  </si>
  <si>
    <t>srt125,13mm,3rope</t>
  </si>
  <si>
    <t>rate+2</t>
  </si>
  <si>
    <t xml:space="preserve">seg 10,8mm,4rope</t>
  </si>
  <si>
    <t>Cable</t>
  </si>
  <si>
    <t xml:space="preserve">flat 12 core,.7mm</t>
  </si>
  <si>
    <t>rate+4</t>
  </si>
  <si>
    <t xml:space="preserve">Geared/Gearless Safety</t>
  </si>
  <si>
    <t xml:space="preserve">OSG with rope</t>
  </si>
  <si>
    <t>4000+rope+sos&amp;clip</t>
  </si>
  <si>
    <t xml:space="preserve">Weight counter with granite floor</t>
  </si>
  <si>
    <t xml:space="preserve">1weight will be 38 kg</t>
  </si>
  <si>
    <t xml:space="preserve">Sensor door</t>
  </si>
  <si>
    <t>Wiring</t>
  </si>
  <si>
    <t xml:space="preserve">limit switch, 6 core,.5mm</t>
  </si>
  <si>
    <t xml:space="preserve">lop,cop,car top 12 core,.5mm</t>
  </si>
  <si>
    <t xml:space="preserve">lock,lop,firman alaram, car top,2core,.5mm</t>
  </si>
  <si>
    <t xml:space="preserve">2.5mm, flexable, motor</t>
  </si>
  <si>
    <t xml:space="preserve">.75mm for break 2core .5mm</t>
  </si>
  <si>
    <t xml:space="preserve">Car Door</t>
  </si>
  <si>
    <t xml:space="preserve">upto 800mm</t>
  </si>
  <si>
    <t xml:space="preserve">Landing Door</t>
  </si>
  <si>
    <t>OTHER</t>
  </si>
  <si>
    <t xml:space="preserve">&amp; channel</t>
  </si>
  <si>
    <t xml:space="preserve">in case of Machine room back counter and geared only no Channel is required</t>
  </si>
  <si>
    <t>Freight</t>
  </si>
  <si>
    <t xml:space="preserve">(outstation 10000)</t>
  </si>
  <si>
    <t xml:space="preserve">loading &amp; Unloading</t>
  </si>
  <si>
    <t>Scafolding</t>
  </si>
  <si>
    <t>TOTAL</t>
  </si>
  <si>
    <t xml:space="preserve">Installation local 10000</t>
  </si>
  <si>
    <t xml:space="preserve">outstation 12500</t>
  </si>
  <si>
    <t>Commissioing</t>
  </si>
  <si>
    <t xml:space="preserve">Warranty </t>
  </si>
  <si>
    <t xml:space="preserve">OUR MARGIN</t>
  </si>
  <si>
    <t xml:space="preserve">FINAL OFFER</t>
  </si>
  <si>
    <t xml:space="preserve">RATES TO BE QUOTED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</si>
</sst>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indexed="2"/>
      <name val="Calibri"/>
      <scheme val="minor"/>
    </font>
    <font>
      <sz val="11.000000"/>
      <name val="Calibri"/>
      <scheme val="minor"/>
    </font>
    <font>
      <sz val="11.000000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/>
    <xf fontId="0" fillId="0" borderId="1" numFmtId="0" xfId="0" applyBorder="1"/>
    <xf fontId="0" fillId="0" borderId="0" numFmtId="0" xfId="0"/>
    <xf fontId="0" fillId="2" borderId="1" numFmtId="0" xfId="0" applyFill="1" applyBorder="1"/>
    <xf fontId="0" fillId="0" borderId="1" numFmtId="0" xfId="0" applyBorder="1" applyAlignment="1">
      <alignment horizontal="center"/>
    </xf>
    <xf fontId="0" fillId="2" borderId="0" numFmtId="0" xfId="0" applyFill="1" applyAlignment="1">
      <alignment horizontal="center"/>
    </xf>
    <xf fontId="0" fillId="0" borderId="0" numFmtId="2" xfId="0" applyNumberFormat="1"/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2" borderId="4" numFmtId="0" xfId="0" applyFill="1" applyBorder="1" applyAlignment="1">
      <alignment horizontal="center"/>
    </xf>
    <xf fontId="1" fillId="0" borderId="0" numFmtId="0" xfId="0" applyFont="1"/>
    <xf fontId="1" fillId="0" borderId="0" numFmtId="0" xfId="0" applyFont="1" applyAlignment="1">
      <alignment horizontal="center"/>
    </xf>
    <xf fontId="1" fillId="2" borderId="0" numFmtId="0" xfId="0" applyFont="1" applyFill="1" applyAlignment="1">
      <alignment horizontal="center"/>
    </xf>
    <xf fontId="0" fillId="2" borderId="0" numFmtId="2" xfId="0" applyNumberFormat="1" applyFill="1" applyAlignment="1">
      <alignment horizontal="center"/>
    </xf>
    <xf fontId="0" fillId="0" borderId="0" numFmtId="1" xfId="0" applyNumberFormat="1"/>
    <xf fontId="0" fillId="2" borderId="0" numFmtId="1" xfId="0" applyNumberFormat="1" applyFill="1"/>
    <xf fontId="2" fillId="2" borderId="0" numFmtId="0" xfId="0" applyFont="1" applyFill="1"/>
    <xf fontId="3" fillId="0" borderId="0" numFmtId="0" xfId="0" applyFont="1"/>
    <xf fontId="2" fillId="0" borderId="0" numFmtId="0" xfId="0" applyFont="1"/>
    <xf fontId="1" fillId="2" borderId="0" numFmtId="0" xfId="0" applyFont="1" applyFill="1"/>
    <xf fontId="4" fillId="0" borderId="0" numFmtId="0" xfId="0" applyFont="1"/>
    <xf fontId="0" fillId="0" borderId="0" numFmtId="164" xfId="0" applyNumberFormat="1" applyAlignment="1">
      <alignment horizontal="center"/>
    </xf>
    <xf fontId="0" fillId="0" borderId="0" numFmtId="1" xfId="0" applyNumberFormat="1" applyAlignment="1">
      <alignment horizontal="center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10" workbookViewId="0">
      <selection activeCell="U49" activeCellId="0" sqref="U49"/>
    </sheetView>
  </sheetViews>
  <sheetFormatPr defaultRowHeight="14.25"/>
  <cols>
    <col customWidth="1" min="3" max="3" width="20.36328125"/>
    <col customWidth="1" min="4" max="4" width="17.54296875"/>
    <col customWidth="1" min="5" max="5" style="1" width="19.1796875"/>
    <col customWidth="1" min="6" max="6" style="1" width="6.81640625"/>
    <col customWidth="1" min="7" max="7" width="8"/>
    <col customWidth="1" min="8" max="8" width="12.81640625"/>
    <col customWidth="1" min="9" max="9" width="9.1796875"/>
    <col customWidth="1" min="10" max="10" width="10.54296875"/>
    <col customWidth="1" min="11" max="12" width="12"/>
    <col customWidth="1" min="13" max="14" width="11.26953125"/>
    <col customWidth="1" min="15" max="16" width="12.7265625"/>
    <col customWidth="1" min="17" max="18" style="2" width="12"/>
    <col customWidth="1" min="19" max="19" width="7"/>
    <col customWidth="1" min="20" max="20" width="12.36328125"/>
    <col customWidth="1" min="21" max="21" width="11.26953125"/>
    <col customWidth="1" min="22" max="22" width="14.1796875"/>
  </cols>
  <sheetData>
    <row r="1" ht="14.65">
      <c r="H1" s="3" t="s">
        <v>0</v>
      </c>
      <c r="I1" s="3" t="s">
        <v>1</v>
      </c>
      <c r="J1" s="3" t="s">
        <v>2</v>
      </c>
      <c r="K1" s="4" t="s">
        <v>3</v>
      </c>
      <c r="Q1" s="5" t="s">
        <v>4</v>
      </c>
      <c r="R1" s="5">
        <v>1600</v>
      </c>
      <c r="S1" t="s">
        <v>5</v>
      </c>
      <c r="T1" s="3" t="s">
        <v>6</v>
      </c>
      <c r="U1" s="3" t="s">
        <v>7</v>
      </c>
      <c r="V1" s="3" t="s">
        <v>8</v>
      </c>
    </row>
    <row r="2" ht="14.65">
      <c r="B2" t="s">
        <v>9</v>
      </c>
      <c r="E2" s="1" t="s">
        <v>5</v>
      </c>
      <c r="G2" s="1">
        <v>6</v>
      </c>
      <c r="H2" s="3" t="s">
        <v>10</v>
      </c>
      <c r="I2" s="6">
        <v>2</v>
      </c>
      <c r="J2" s="3">
        <f>7500+500+1550+2450+2000</f>
        <v>14000</v>
      </c>
      <c r="Q2" s="5" t="s">
        <v>11</v>
      </c>
      <c r="R2" s="5">
        <v>0</v>
      </c>
      <c r="T2" s="6">
        <v>2</v>
      </c>
      <c r="U2" s="3" t="s">
        <v>12</v>
      </c>
      <c r="V2" s="6">
        <v>4</v>
      </c>
    </row>
    <row r="3" ht="14.65">
      <c r="B3" t="s">
        <v>1</v>
      </c>
      <c r="E3" s="1" t="s">
        <v>5</v>
      </c>
      <c r="G3" s="7">
        <v>4</v>
      </c>
      <c r="H3" s="3" t="s">
        <v>13</v>
      </c>
      <c r="I3" s="6">
        <v>3</v>
      </c>
      <c r="J3" s="3">
        <f>7850+750+1550+2450+1850+2000</f>
        <v>16450</v>
      </c>
      <c r="Q3" s="5" t="s">
        <v>14</v>
      </c>
      <c r="R3" s="5">
        <v>3800</v>
      </c>
      <c r="T3" s="6">
        <v>3</v>
      </c>
      <c r="U3" s="3" t="s">
        <v>15</v>
      </c>
      <c r="V3" s="6">
        <v>5</v>
      </c>
    </row>
    <row r="4" ht="14.65">
      <c r="B4" t="s">
        <v>16</v>
      </c>
      <c r="E4" s="1">
        <v>0.65000000000000002</v>
      </c>
      <c r="G4" s="1">
        <v>1</v>
      </c>
      <c r="H4" s="3" t="s">
        <v>17</v>
      </c>
      <c r="I4" s="6">
        <v>4</v>
      </c>
      <c r="J4" s="3">
        <f>8200+1000+1550+2450+1850*2+2000</f>
        <v>18900</v>
      </c>
      <c r="K4">
        <v>25000</v>
      </c>
      <c r="L4" t="s">
        <v>10</v>
      </c>
      <c r="Q4" s="5" t="s">
        <v>18</v>
      </c>
      <c r="R4" s="5">
        <v>3800</v>
      </c>
      <c r="T4" s="6">
        <v>3</v>
      </c>
      <c r="U4" s="3" t="s">
        <v>19</v>
      </c>
      <c r="V4" s="6">
        <v>6</v>
      </c>
    </row>
    <row r="5" ht="14.65">
      <c r="B5" t="s">
        <v>20</v>
      </c>
      <c r="E5" s="1" t="s">
        <v>21</v>
      </c>
      <c r="G5" t="s">
        <v>22</v>
      </c>
      <c r="H5" s="3" t="s">
        <v>23</v>
      </c>
      <c r="I5" s="6">
        <v>5</v>
      </c>
      <c r="J5" s="3">
        <f>8550+1250+1550+2450+1850*3+2000</f>
        <v>21350</v>
      </c>
      <c r="Q5" s="5" t="s">
        <v>24</v>
      </c>
      <c r="R5" s="5">
        <v>3900</v>
      </c>
      <c r="T5" s="6">
        <v>4</v>
      </c>
      <c r="U5" s="3" t="s">
        <v>25</v>
      </c>
      <c r="V5" s="6">
        <v>7</v>
      </c>
    </row>
    <row r="6" ht="14.65">
      <c r="B6" t="s">
        <v>26</v>
      </c>
      <c r="E6" s="1" t="s">
        <v>27</v>
      </c>
      <c r="G6" t="s">
        <v>28</v>
      </c>
      <c r="H6" s="3" t="s">
        <v>29</v>
      </c>
      <c r="I6" s="6">
        <v>6</v>
      </c>
      <c r="J6" s="3">
        <f>8900+1500+1550+2450+1850*4+2000</f>
        <v>23800</v>
      </c>
      <c r="Q6" s="5" t="s">
        <v>30</v>
      </c>
      <c r="R6" s="5">
        <v>0</v>
      </c>
      <c r="T6" s="6">
        <v>4</v>
      </c>
      <c r="U6" s="3" t="s">
        <v>31</v>
      </c>
      <c r="V6" s="6">
        <v>8</v>
      </c>
    </row>
    <row r="7" ht="14.65">
      <c r="B7" t="s">
        <v>32</v>
      </c>
      <c r="E7" s="1" t="s">
        <v>27</v>
      </c>
      <c r="G7" t="s">
        <v>28</v>
      </c>
      <c r="H7" s="3" t="s">
        <v>33</v>
      </c>
      <c r="I7" s="6">
        <v>7</v>
      </c>
      <c r="J7" s="3">
        <f>9250+1750+1550+2450+1850*5+2000</f>
        <v>26250</v>
      </c>
      <c r="Q7" s="5" t="s">
        <v>34</v>
      </c>
      <c r="R7" s="5">
        <v>0</v>
      </c>
    </row>
    <row r="8" ht="14.65">
      <c r="B8" t="s">
        <v>35</v>
      </c>
      <c r="E8" s="1" t="s">
        <v>36</v>
      </c>
      <c r="G8" t="s">
        <v>37</v>
      </c>
      <c r="H8" s="3" t="s">
        <v>38</v>
      </c>
      <c r="I8" s="6">
        <v>8</v>
      </c>
      <c r="J8" s="3">
        <f>9600+2000+1550+2450+1850*6+2000</f>
        <v>28700</v>
      </c>
      <c r="Q8" s="5" t="s">
        <v>39</v>
      </c>
      <c r="R8" s="5">
        <v>0</v>
      </c>
      <c r="T8" s="1" t="s">
        <v>5</v>
      </c>
      <c r="V8" s="1"/>
    </row>
    <row r="9" ht="14.65">
      <c r="B9" t="s">
        <v>40</v>
      </c>
      <c r="D9" t="s">
        <v>5</v>
      </c>
      <c r="E9" s="1" t="s">
        <v>41</v>
      </c>
      <c r="G9">
        <v>700</v>
      </c>
      <c r="H9" s="3" t="s">
        <v>42</v>
      </c>
      <c r="I9" s="6">
        <v>9</v>
      </c>
      <c r="J9" s="3">
        <f>9950+2250+1550+2450+1850*7+2000</f>
        <v>31150</v>
      </c>
      <c r="Q9" s="5" t="s">
        <v>43</v>
      </c>
      <c r="R9" s="5">
        <v>0</v>
      </c>
      <c r="T9" s="8" t="s">
        <v>5</v>
      </c>
      <c r="V9" s="1"/>
    </row>
    <row r="10" ht="14.65">
      <c r="B10" t="s">
        <v>44</v>
      </c>
      <c r="D10" t="s">
        <v>5</v>
      </c>
      <c r="E10" s="1" t="s">
        <v>45</v>
      </c>
      <c r="G10" t="s">
        <v>46</v>
      </c>
      <c r="H10" s="3" t="s">
        <v>47</v>
      </c>
      <c r="I10" s="6">
        <v>10</v>
      </c>
      <c r="J10" s="3">
        <f>10300+2500+1550+2450+1850*8+2000</f>
        <v>33600</v>
      </c>
      <c r="K10" s="8">
        <f>54/3.33</f>
        <v>16.216216216216218</v>
      </c>
      <c r="Q10" s="5" t="s">
        <v>48</v>
      </c>
      <c r="R10" s="5">
        <v>0</v>
      </c>
      <c r="V10" s="1"/>
    </row>
    <row r="11" ht="14.65">
      <c r="D11" t="s">
        <v>5</v>
      </c>
      <c r="K11" s="8">
        <f>K10+2</f>
        <v>18.216216216216218</v>
      </c>
      <c r="Q11" s="5" t="s">
        <v>49</v>
      </c>
      <c r="R11" s="5">
        <v>0</v>
      </c>
      <c r="V11" s="1"/>
    </row>
    <row r="12" ht="14.65">
      <c r="K12" s="8">
        <f>K11*5</f>
        <v>91.081081081081095</v>
      </c>
      <c r="Q12" s="5" t="s">
        <v>50</v>
      </c>
      <c r="R12" s="5">
        <v>0</v>
      </c>
      <c r="V12" s="1"/>
    </row>
    <row r="13" ht="15">
      <c r="K13" s="8"/>
      <c r="Q13" s="5" t="s">
        <v>51</v>
      </c>
      <c r="R13" s="5">
        <v>4800</v>
      </c>
      <c r="V13" s="1"/>
    </row>
    <row r="14" ht="15">
      <c r="K14" s="9" t="s">
        <v>52</v>
      </c>
      <c r="L14" s="10"/>
      <c r="M14" s="9" t="s">
        <v>52</v>
      </c>
      <c r="N14" s="11"/>
      <c r="Q14" s="5" t="s">
        <v>53</v>
      </c>
      <c r="R14" s="5">
        <f>SUM(R1:R13)</f>
        <v>17900</v>
      </c>
      <c r="V14" s="1"/>
    </row>
    <row r="15" s="12" customFormat="1" ht="14.65">
      <c r="A15" s="12" t="s">
        <v>54</v>
      </c>
      <c r="B15" s="12" t="s">
        <v>55</v>
      </c>
      <c r="D15" s="12" t="s">
        <v>56</v>
      </c>
      <c r="E15" s="13" t="s">
        <v>57</v>
      </c>
      <c r="F15" s="13" t="s">
        <v>58</v>
      </c>
      <c r="G15" s="13" t="s">
        <v>59</v>
      </c>
      <c r="H15" s="13"/>
      <c r="I15" s="13" t="s">
        <v>60</v>
      </c>
      <c r="J15" s="13"/>
      <c r="K15" s="13" t="s">
        <v>61</v>
      </c>
      <c r="L15" s="13"/>
      <c r="M15" s="13" t="s">
        <v>62</v>
      </c>
      <c r="N15" s="13"/>
      <c r="O15" s="13" t="s">
        <v>63</v>
      </c>
      <c r="P15" s="13"/>
      <c r="Q15" s="14" t="s">
        <v>64</v>
      </c>
      <c r="R15" s="14"/>
      <c r="V15" s="13"/>
      <c r="W15" s="13"/>
      <c r="X15" s="13"/>
    </row>
    <row r="16" ht="14.65">
      <c r="A16" s="1">
        <v>1</v>
      </c>
      <c r="B16" t="s">
        <v>65</v>
      </c>
      <c r="C16" t="s">
        <v>66</v>
      </c>
      <c r="D16" t="s">
        <v>67</v>
      </c>
      <c r="E16" s="15">
        <f>(R14/5000)*2</f>
        <v>7.1600000000000001</v>
      </c>
      <c r="F16" s="15">
        <v>8</v>
      </c>
      <c r="G16" s="2">
        <f>4800+200</f>
        <v>5000</v>
      </c>
      <c r="H16" s="16">
        <f t="shared" ref="H16:H17" si="0">G16*F16</f>
        <v>40000</v>
      </c>
      <c r="I16">
        <f t="shared" ref="I16:I26" si="1">G16</f>
        <v>5000</v>
      </c>
      <c r="J16" s="16">
        <f>F16*G16</f>
        <v>40000</v>
      </c>
      <c r="K16">
        <f>G16</f>
        <v>5000</v>
      </c>
      <c r="L16" s="16">
        <f>K16*F16</f>
        <v>40000</v>
      </c>
      <c r="M16">
        <f>G16</f>
        <v>5000</v>
      </c>
      <c r="N16" s="16">
        <f t="shared" ref="N16:N17" si="2">L16</f>
        <v>40000</v>
      </c>
      <c r="O16">
        <f>G16</f>
        <v>5000</v>
      </c>
      <c r="P16" s="16">
        <f>F16*O16</f>
        <v>40000</v>
      </c>
      <c r="Q16" s="2">
        <f>G16</f>
        <v>5000</v>
      </c>
      <c r="R16" s="17">
        <f>F16*Q16</f>
        <v>40000</v>
      </c>
      <c r="V16" s="1"/>
    </row>
    <row r="17" ht="14.65">
      <c r="A17" s="1">
        <v>2</v>
      </c>
      <c r="B17" t="s">
        <v>68</v>
      </c>
      <c r="C17" t="s">
        <v>69</v>
      </c>
      <c r="D17" t="s">
        <v>70</v>
      </c>
      <c r="E17" s="15">
        <f>((R14-900)/2000)+2</f>
        <v>10.5</v>
      </c>
      <c r="F17" s="7">
        <v>11</v>
      </c>
      <c r="G17" s="18">
        <v>950</v>
      </c>
      <c r="H17" s="16">
        <f t="shared" si="0"/>
        <v>10450</v>
      </c>
      <c r="I17">
        <f t="shared" si="1"/>
        <v>950</v>
      </c>
      <c r="J17" s="16">
        <f>I17*F17</f>
        <v>10450</v>
      </c>
      <c r="K17">
        <f>1800*G3</f>
        <v>7200</v>
      </c>
      <c r="L17" s="16">
        <f>J17</f>
        <v>10450</v>
      </c>
      <c r="M17">
        <f>1800*G3</f>
        <v>7200</v>
      </c>
      <c r="N17" s="16">
        <f t="shared" si="2"/>
        <v>10450</v>
      </c>
      <c r="O17">
        <v>0</v>
      </c>
      <c r="P17">
        <f>E17*O17</f>
        <v>0</v>
      </c>
      <c r="Q17" s="2">
        <v>0</v>
      </c>
      <c r="R17" s="2">
        <f>E17*Q17</f>
        <v>0</v>
      </c>
      <c r="T17" t="s">
        <v>71</v>
      </c>
      <c r="V17" s="1"/>
    </row>
    <row r="18" ht="14.65">
      <c r="A18" s="1"/>
      <c r="B18" t="s">
        <v>68</v>
      </c>
      <c r="C18" t="s">
        <v>72</v>
      </c>
      <c r="D18" t="s">
        <v>73</v>
      </c>
      <c r="E18" s="15">
        <f>E17</f>
        <v>10.5</v>
      </c>
      <c r="F18" s="7">
        <v>11</v>
      </c>
      <c r="G18" s="19">
        <v>0</v>
      </c>
      <c r="H18" s="16">
        <v>0</v>
      </c>
      <c r="I18">
        <v>0</v>
      </c>
      <c r="J18">
        <f t="shared" ref="J18:J20" si="3">E18*I18</f>
        <v>0</v>
      </c>
      <c r="K18">
        <v>0</v>
      </c>
      <c r="L18">
        <f>K18*E18</f>
        <v>0</v>
      </c>
      <c r="M18">
        <v>0</v>
      </c>
      <c r="N18">
        <f t="shared" ref="N18:N20" si="4">E18*M18</f>
        <v>0</v>
      </c>
      <c r="O18" s="20">
        <f>1100+250</f>
        <v>1350</v>
      </c>
      <c r="P18" s="16">
        <f>O18*F18</f>
        <v>14850</v>
      </c>
      <c r="Q18" s="2">
        <f>O18</f>
        <v>1350</v>
      </c>
      <c r="R18" s="17">
        <f>Q18*F18</f>
        <v>14850</v>
      </c>
      <c r="T18" t="s">
        <v>74</v>
      </c>
      <c r="V18" s="1"/>
    </row>
    <row r="19" ht="14.65">
      <c r="A19" s="1">
        <v>3</v>
      </c>
      <c r="B19" t="s">
        <v>75</v>
      </c>
      <c r="C19" t="s">
        <v>76</v>
      </c>
      <c r="E19" s="1">
        <v>1</v>
      </c>
      <c r="G19">
        <v>45000</v>
      </c>
      <c r="H19">
        <f t="shared" ref="H19:H46" si="5">G19*E19</f>
        <v>45000</v>
      </c>
      <c r="I19">
        <v>75000</v>
      </c>
      <c r="J19">
        <f t="shared" si="3"/>
        <v>75000</v>
      </c>
      <c r="K19">
        <f>H19</f>
        <v>45000</v>
      </c>
      <c r="L19">
        <f>H19</f>
        <v>45000</v>
      </c>
      <c r="M19">
        <f>I19</f>
        <v>75000</v>
      </c>
      <c r="N19">
        <f t="shared" si="4"/>
        <v>75000</v>
      </c>
      <c r="O19">
        <v>45000</v>
      </c>
      <c r="P19">
        <f t="shared" ref="P19:P20" si="6">E19*O19</f>
        <v>45000</v>
      </c>
      <c r="Q19" s="2">
        <f>I19</f>
        <v>75000</v>
      </c>
      <c r="R19" s="2">
        <f t="shared" ref="R19:R20" si="7">E19*Q19</f>
        <v>75000</v>
      </c>
      <c r="S19" t="s">
        <v>5</v>
      </c>
      <c r="V19" s="1"/>
    </row>
    <row r="20" ht="14.65">
      <c r="A20" s="1" t="s">
        <v>5</v>
      </c>
      <c r="B20" t="s">
        <v>77</v>
      </c>
      <c r="E20" s="1">
        <v>1</v>
      </c>
      <c r="G20">
        <v>4000</v>
      </c>
      <c r="H20">
        <f t="shared" si="5"/>
        <v>4000</v>
      </c>
      <c r="I20">
        <v>4000</v>
      </c>
      <c r="J20">
        <f t="shared" si="3"/>
        <v>4000</v>
      </c>
      <c r="K20">
        <v>4000</v>
      </c>
      <c r="L20">
        <f>K20*E20</f>
        <v>4000</v>
      </c>
      <c r="M20">
        <v>4000</v>
      </c>
      <c r="N20">
        <f t="shared" si="4"/>
        <v>4000</v>
      </c>
      <c r="O20">
        <v>4000</v>
      </c>
      <c r="P20">
        <f t="shared" si="6"/>
        <v>4000</v>
      </c>
      <c r="Q20" s="2">
        <v>4000</v>
      </c>
      <c r="R20" s="2">
        <f t="shared" si="7"/>
        <v>4000</v>
      </c>
    </row>
    <row r="21">
      <c r="A21" s="1"/>
      <c r="B21" t="s">
        <v>78</v>
      </c>
      <c r="E21" s="1">
        <v>1</v>
      </c>
      <c r="G21">
        <v>2500</v>
      </c>
      <c r="H21">
        <f t="shared" si="5"/>
        <v>2500</v>
      </c>
      <c r="I21">
        <f t="shared" si="1"/>
        <v>2500</v>
      </c>
      <c r="J21">
        <f t="shared" ref="J21:J22" si="8">I21*E21</f>
        <v>2500</v>
      </c>
      <c r="L21">
        <f t="shared" ref="L21:L23" si="9">J21</f>
        <v>2500</v>
      </c>
      <c r="N21">
        <f t="shared" ref="N21:N23" si="10">L21</f>
        <v>2500</v>
      </c>
      <c r="O21">
        <f t="shared" ref="O21:O22" si="11">I21</f>
        <v>2500</v>
      </c>
      <c r="P21">
        <f t="shared" ref="P21:P22" si="12">O21*E21</f>
        <v>2500</v>
      </c>
      <c r="Q21" s="2">
        <f t="shared" ref="Q21:Q24" si="13">O21</f>
        <v>2500</v>
      </c>
      <c r="R21" s="2">
        <f t="shared" ref="R21:R22" si="14">Q21*E21</f>
        <v>2500</v>
      </c>
    </row>
    <row r="22">
      <c r="A22" s="1"/>
      <c r="B22" t="s">
        <v>79</v>
      </c>
      <c r="E22" s="1">
        <v>1</v>
      </c>
      <c r="G22" s="2">
        <v>6000</v>
      </c>
      <c r="H22">
        <f t="shared" si="5"/>
        <v>6000</v>
      </c>
      <c r="I22">
        <f t="shared" si="1"/>
        <v>6000</v>
      </c>
      <c r="J22">
        <f t="shared" si="8"/>
        <v>6000</v>
      </c>
      <c r="L22">
        <f t="shared" si="9"/>
        <v>6000</v>
      </c>
      <c r="N22">
        <f t="shared" si="10"/>
        <v>6000</v>
      </c>
      <c r="O22">
        <f t="shared" si="11"/>
        <v>6000</v>
      </c>
      <c r="P22">
        <f t="shared" si="12"/>
        <v>6000</v>
      </c>
      <c r="Q22" s="2">
        <f t="shared" si="13"/>
        <v>6000</v>
      </c>
      <c r="R22" s="2">
        <f t="shared" si="14"/>
        <v>6000</v>
      </c>
    </row>
    <row r="23">
      <c r="A23" s="1">
        <v>4</v>
      </c>
      <c r="B23" t="s">
        <v>80</v>
      </c>
      <c r="D23" t="s">
        <v>81</v>
      </c>
      <c r="E23" s="1">
        <v>1</v>
      </c>
      <c r="G23">
        <f>37500+1500</f>
        <v>39000</v>
      </c>
      <c r="H23">
        <f t="shared" si="5"/>
        <v>39000</v>
      </c>
      <c r="I23">
        <f t="shared" si="1"/>
        <v>39000</v>
      </c>
      <c r="J23">
        <f>E23*I23</f>
        <v>39000</v>
      </c>
      <c r="K23" t="s">
        <v>5</v>
      </c>
      <c r="L23">
        <f t="shared" si="9"/>
        <v>39000</v>
      </c>
      <c r="M23" t="s">
        <v>5</v>
      </c>
      <c r="N23">
        <f t="shared" si="10"/>
        <v>39000</v>
      </c>
      <c r="O23">
        <v>0</v>
      </c>
      <c r="P23">
        <v>0</v>
      </c>
      <c r="Q23" s="2">
        <v>0</v>
      </c>
      <c r="R23" s="2">
        <v>0</v>
      </c>
      <c r="T23" s="1" t="s">
        <v>82</v>
      </c>
      <c r="U23" s="1"/>
      <c r="V23" s="1"/>
      <c r="W23" s="1"/>
      <c r="X23" s="1"/>
    </row>
    <row r="24">
      <c r="A24" s="1">
        <v>4</v>
      </c>
      <c r="B24" t="s">
        <v>83</v>
      </c>
      <c r="D24" t="s">
        <v>84</v>
      </c>
      <c r="E24" s="1">
        <v>1</v>
      </c>
      <c r="G24">
        <v>0</v>
      </c>
      <c r="H24">
        <f t="shared" si="5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 t="shared" ref="P24:P27" si="15">E24*O24</f>
        <v>68000</v>
      </c>
      <c r="Q24" s="2">
        <f t="shared" si="13"/>
        <v>68000</v>
      </c>
      <c r="R24" s="2">
        <f t="shared" ref="R24:R27" si="16">E24*Q24</f>
        <v>68000</v>
      </c>
      <c r="T24" s="1" t="s">
        <v>82</v>
      </c>
      <c r="U24" s="1"/>
      <c r="V24" s="1"/>
      <c r="W24" s="1"/>
      <c r="X24" s="1"/>
    </row>
    <row r="25">
      <c r="A25" s="1">
        <v>5</v>
      </c>
      <c r="B25" t="s">
        <v>85</v>
      </c>
      <c r="E25" s="1">
        <v>1</v>
      </c>
      <c r="G25">
        <f>12500+500</f>
        <v>13000</v>
      </c>
      <c r="H25">
        <f t="shared" si="5"/>
        <v>13000</v>
      </c>
      <c r="I25">
        <f t="shared" si="1"/>
        <v>13000</v>
      </c>
      <c r="J25">
        <f t="shared" ref="J25:J27" si="17">E25*I25</f>
        <v>13000</v>
      </c>
      <c r="K25" t="s">
        <v>5</v>
      </c>
      <c r="L25">
        <f>J25</f>
        <v>13000</v>
      </c>
      <c r="M25" t="s">
        <v>5</v>
      </c>
      <c r="N25">
        <f>L25</f>
        <v>13000</v>
      </c>
      <c r="O25">
        <f t="shared" ref="O25:O26" si="18">G25</f>
        <v>13000</v>
      </c>
      <c r="P25">
        <f t="shared" si="15"/>
        <v>13000</v>
      </c>
      <c r="Q25" s="2">
        <f t="shared" ref="Q25:Q26" si="19">G25</f>
        <v>13000</v>
      </c>
      <c r="R25" s="2">
        <f t="shared" si="16"/>
        <v>13000</v>
      </c>
    </row>
    <row r="26">
      <c r="A26" s="1">
        <v>5</v>
      </c>
      <c r="B26" t="s">
        <v>0</v>
      </c>
      <c r="E26" s="1">
        <v>1</v>
      </c>
      <c r="G26" s="21">
        <f>VLOOKUP(G3,I1:J10,2,0)+3000</f>
        <v>21900</v>
      </c>
      <c r="H26">
        <f t="shared" si="5"/>
        <v>21900</v>
      </c>
      <c r="I26">
        <f t="shared" si="1"/>
        <v>21900</v>
      </c>
      <c r="J26">
        <f t="shared" si="17"/>
        <v>21900</v>
      </c>
      <c r="K26">
        <f>G26</f>
        <v>21900</v>
      </c>
      <c r="L26">
        <f>K26*E26</f>
        <v>21900</v>
      </c>
      <c r="M26">
        <f>G26</f>
        <v>21900</v>
      </c>
      <c r="N26">
        <f t="shared" ref="N26:N27" si="20">E26*M26</f>
        <v>21900</v>
      </c>
      <c r="O26">
        <f t="shared" si="18"/>
        <v>21900</v>
      </c>
      <c r="P26">
        <f t="shared" si="15"/>
        <v>21900</v>
      </c>
      <c r="Q26" s="2">
        <f t="shared" si="19"/>
        <v>21900</v>
      </c>
      <c r="R26" s="2">
        <f t="shared" si="16"/>
        <v>21900</v>
      </c>
    </row>
    <row r="27">
      <c r="A27" s="1">
        <v>16</v>
      </c>
      <c r="B27" t="s">
        <v>86</v>
      </c>
      <c r="D27" t="s">
        <v>87</v>
      </c>
      <c r="E27" s="1">
        <v>1</v>
      </c>
      <c r="G27" s="22">
        <f>62000+2000+2500</f>
        <v>66500</v>
      </c>
      <c r="H27">
        <f t="shared" si="5"/>
        <v>66500</v>
      </c>
      <c r="I27">
        <f>H27</f>
        <v>66500</v>
      </c>
      <c r="J27">
        <f t="shared" si="17"/>
        <v>66500</v>
      </c>
      <c r="K27" t="s">
        <v>5</v>
      </c>
      <c r="L27">
        <f t="shared" ref="L27:L28" si="21">J27</f>
        <v>66500</v>
      </c>
      <c r="M27">
        <f>I27</f>
        <v>66500</v>
      </c>
      <c r="N27">
        <f t="shared" si="20"/>
        <v>66500</v>
      </c>
      <c r="O27" s="2">
        <f>75100+2000+2500</f>
        <v>79600</v>
      </c>
      <c r="P27">
        <f t="shared" si="15"/>
        <v>79600</v>
      </c>
      <c r="Q27" s="2">
        <f t="shared" ref="Q27:Q28" si="22">P27</f>
        <v>79600</v>
      </c>
      <c r="R27" s="2">
        <f t="shared" si="16"/>
        <v>79600</v>
      </c>
      <c r="S27" t="s">
        <v>88</v>
      </c>
      <c r="U27" t="s">
        <v>89</v>
      </c>
    </row>
    <row r="28">
      <c r="A28" s="1"/>
      <c r="B28" t="s">
        <v>90</v>
      </c>
      <c r="E28" s="1">
        <v>1</v>
      </c>
      <c r="G28">
        <v>2500</v>
      </c>
      <c r="H28">
        <f t="shared" si="5"/>
        <v>2500</v>
      </c>
      <c r="I28">
        <f t="shared" ref="I28:I31" si="23">G28</f>
        <v>2500</v>
      </c>
      <c r="J28">
        <f>I28</f>
        <v>2500</v>
      </c>
      <c r="L28">
        <f t="shared" si="21"/>
        <v>2500</v>
      </c>
      <c r="N28">
        <f>L28</f>
        <v>2500</v>
      </c>
      <c r="O28">
        <f>J28</f>
        <v>2500</v>
      </c>
      <c r="P28">
        <f>O28</f>
        <v>2500</v>
      </c>
      <c r="Q28" s="2">
        <f t="shared" si="22"/>
        <v>2500</v>
      </c>
      <c r="R28" s="2">
        <f>Q28</f>
        <v>2500</v>
      </c>
      <c r="U28" t="s">
        <v>91</v>
      </c>
    </row>
    <row r="29">
      <c r="A29" s="1">
        <v>6</v>
      </c>
      <c r="B29" t="s">
        <v>92</v>
      </c>
      <c r="C29" t="s">
        <v>93</v>
      </c>
      <c r="D29" t="s">
        <v>94</v>
      </c>
      <c r="E29" s="23">
        <f>((R14/1000)+2)*3</f>
        <v>59.699999999999996</v>
      </c>
      <c r="F29" s="24"/>
      <c r="G29" s="2">
        <v>113</v>
      </c>
      <c r="H29" s="16">
        <f t="shared" si="5"/>
        <v>6746.0999999999995</v>
      </c>
      <c r="I29">
        <f t="shared" si="23"/>
        <v>113</v>
      </c>
      <c r="J29" s="16">
        <f t="shared" ref="J29:J32" si="24">E29*I29</f>
        <v>6746.0999999999995</v>
      </c>
      <c r="K29">
        <f>I29</f>
        <v>113</v>
      </c>
      <c r="L29" s="16">
        <f t="shared" ref="L29:L42" si="25">K29*E29</f>
        <v>6746.0999999999995</v>
      </c>
      <c r="M29">
        <f>K29</f>
        <v>113</v>
      </c>
      <c r="N29" s="16">
        <f t="shared" ref="N29:N42" si="26">E29*M29</f>
        <v>6746.0999999999995</v>
      </c>
      <c r="O29">
        <v>0</v>
      </c>
      <c r="P29" s="16">
        <f>(E29*O29*2)/3*4</f>
        <v>0</v>
      </c>
      <c r="Q29" s="2">
        <v>0</v>
      </c>
      <c r="R29" s="17">
        <f>(Q29*E29*2)/3*4</f>
        <v>0</v>
      </c>
    </row>
    <row r="30">
      <c r="A30" s="1">
        <v>6</v>
      </c>
      <c r="B30" t="s">
        <v>92</v>
      </c>
      <c r="C30" t="s">
        <v>95</v>
      </c>
      <c r="D30" t="s">
        <v>94</v>
      </c>
      <c r="E30" s="23">
        <f>(((R14/1000)*2)+2)*4</f>
        <v>151.19999999999999</v>
      </c>
      <c r="F30" s="24"/>
      <c r="G30">
        <v>0</v>
      </c>
      <c r="H30" s="16">
        <f t="shared" si="5"/>
        <v>0</v>
      </c>
      <c r="I30">
        <v>0</v>
      </c>
      <c r="J30" s="16">
        <f t="shared" si="24"/>
        <v>0</v>
      </c>
      <c r="K30">
        <v>0</v>
      </c>
      <c r="L30" s="16">
        <f t="shared" si="25"/>
        <v>0</v>
      </c>
      <c r="M30">
        <v>0</v>
      </c>
      <c r="N30" s="16">
        <f t="shared" si="26"/>
        <v>0</v>
      </c>
      <c r="O30" s="2">
        <v>77</v>
      </c>
      <c r="P30" s="16">
        <f>O30*E30</f>
        <v>11642.4</v>
      </c>
      <c r="Q30" s="2">
        <f t="shared" ref="Q30:Q31" si="27">O30</f>
        <v>77</v>
      </c>
      <c r="R30" s="17">
        <f>Q30*E30</f>
        <v>11642.4</v>
      </c>
    </row>
    <row r="31">
      <c r="A31" s="1">
        <v>7</v>
      </c>
      <c r="B31" t="s">
        <v>96</v>
      </c>
      <c r="C31" t="s">
        <v>97</v>
      </c>
      <c r="D31" t="s">
        <v>98</v>
      </c>
      <c r="E31" s="23">
        <f>((R14+3000+3000)/1000)*4</f>
        <v>95.599999999999994</v>
      </c>
      <c r="F31" s="24"/>
      <c r="G31" s="2">
        <v>128</v>
      </c>
      <c r="H31" s="16">
        <f t="shared" si="5"/>
        <v>12236.799999999999</v>
      </c>
      <c r="I31">
        <f t="shared" si="23"/>
        <v>128</v>
      </c>
      <c r="J31" s="16">
        <f t="shared" si="24"/>
        <v>12236.799999999999</v>
      </c>
      <c r="K31">
        <f>I31</f>
        <v>128</v>
      </c>
      <c r="L31" s="16">
        <f t="shared" si="25"/>
        <v>12236.799999999999</v>
      </c>
      <c r="M31">
        <f>K31</f>
        <v>128</v>
      </c>
      <c r="N31" s="16">
        <f t="shared" si="26"/>
        <v>12236.799999999999</v>
      </c>
      <c r="O31">
        <f>I31</f>
        <v>128</v>
      </c>
      <c r="P31" s="16">
        <f t="shared" ref="P31:P32" si="28">E31*O31</f>
        <v>12236.799999999999</v>
      </c>
      <c r="Q31" s="2">
        <f t="shared" si="27"/>
        <v>128</v>
      </c>
      <c r="R31" s="17">
        <f t="shared" ref="R31:R32" si="29">E31*Q31</f>
        <v>12236.799999999999</v>
      </c>
    </row>
    <row r="32">
      <c r="A32" s="1">
        <v>8</v>
      </c>
      <c r="B32" t="s">
        <v>99</v>
      </c>
      <c r="E32" s="1">
        <v>1</v>
      </c>
      <c r="G32" s="2">
        <v>28000</v>
      </c>
      <c r="H32">
        <f t="shared" si="5"/>
        <v>28000</v>
      </c>
      <c r="I32">
        <f t="shared" ref="I32:I34" si="30">H32</f>
        <v>28000</v>
      </c>
      <c r="J32">
        <f t="shared" si="24"/>
        <v>28000</v>
      </c>
      <c r="K32" t="s">
        <v>5</v>
      </c>
      <c r="L32">
        <f t="shared" ref="L32:L40" si="31">J32</f>
        <v>28000</v>
      </c>
      <c r="M32" t="s">
        <v>5</v>
      </c>
      <c r="N32">
        <f t="shared" ref="N32:N34" si="32">L32</f>
        <v>28000</v>
      </c>
      <c r="O32" s="2">
        <f>40000</f>
        <v>40000</v>
      </c>
      <c r="P32">
        <f t="shared" si="28"/>
        <v>40000</v>
      </c>
      <c r="Q32" s="2">
        <f t="shared" ref="Q32:Q34" si="33">P32</f>
        <v>40000</v>
      </c>
      <c r="R32" s="2">
        <f t="shared" si="29"/>
        <v>40000</v>
      </c>
    </row>
    <row r="33">
      <c r="A33" s="1">
        <v>9</v>
      </c>
      <c r="B33" t="s">
        <v>100</v>
      </c>
      <c r="D33" t="s">
        <v>101</v>
      </c>
      <c r="E33" s="1">
        <f>E30/4</f>
        <v>37.799999999999997</v>
      </c>
      <c r="G33" s="16">
        <f>(E33*O30)+4000+1000</f>
        <v>7910.6000000000004</v>
      </c>
      <c r="H33" s="16">
        <f>G33</f>
        <v>7910.6000000000004</v>
      </c>
      <c r="I33" s="16">
        <f t="shared" si="30"/>
        <v>7910.6000000000004</v>
      </c>
      <c r="J33" s="16">
        <f>I33</f>
        <v>7910.6000000000004</v>
      </c>
      <c r="K33" s="16" t="s">
        <v>5</v>
      </c>
      <c r="L33" s="16">
        <f t="shared" si="31"/>
        <v>7910.6000000000004</v>
      </c>
      <c r="M33" s="16" t="s">
        <v>5</v>
      </c>
      <c r="N33" s="16">
        <f t="shared" si="32"/>
        <v>7910.6000000000004</v>
      </c>
      <c r="O33" s="16">
        <f t="shared" ref="O33:O34" si="34">J33</f>
        <v>7910.6000000000004</v>
      </c>
      <c r="P33" s="16">
        <f>O33</f>
        <v>7910.6000000000004</v>
      </c>
      <c r="Q33" s="17">
        <f t="shared" si="33"/>
        <v>7910.6000000000004</v>
      </c>
      <c r="R33" s="17">
        <f>Q33</f>
        <v>7910.6000000000004</v>
      </c>
    </row>
    <row r="34">
      <c r="A34" s="1">
        <v>10</v>
      </c>
      <c r="B34" t="s">
        <v>102</v>
      </c>
      <c r="D34" s="16">
        <f>15.5*38*(15.5+2)</f>
        <v>10307.5</v>
      </c>
      <c r="E34" s="1">
        <v>1</v>
      </c>
      <c r="G34" s="16">
        <f>D34</f>
        <v>10307.5</v>
      </c>
      <c r="H34" s="16">
        <f t="shared" si="5"/>
        <v>10307.5</v>
      </c>
      <c r="I34" s="16">
        <f t="shared" si="30"/>
        <v>10307.5</v>
      </c>
      <c r="J34" s="16">
        <f t="shared" ref="J34:J35" si="35">E34*I34</f>
        <v>10307.5</v>
      </c>
      <c r="K34" s="16" t="s">
        <v>5</v>
      </c>
      <c r="L34" s="16">
        <f t="shared" si="31"/>
        <v>10307.5</v>
      </c>
      <c r="M34" s="16" t="s">
        <v>5</v>
      </c>
      <c r="N34" s="16">
        <f t="shared" si="32"/>
        <v>10307.5</v>
      </c>
      <c r="O34" s="16">
        <f t="shared" si="34"/>
        <v>10307.5</v>
      </c>
      <c r="P34" s="16">
        <f t="shared" ref="P34:P35" si="36">E34*O34</f>
        <v>10307.5</v>
      </c>
      <c r="Q34" s="17">
        <f t="shared" si="33"/>
        <v>10307.5</v>
      </c>
      <c r="R34" s="17">
        <f t="shared" ref="R34:R35" si="37">E34*Q34</f>
        <v>10307.5</v>
      </c>
      <c r="S34" t="s">
        <v>5</v>
      </c>
      <c r="U34" t="s">
        <v>103</v>
      </c>
    </row>
    <row r="35">
      <c r="A35" s="1">
        <v>11</v>
      </c>
      <c r="B35" t="s">
        <v>104</v>
      </c>
      <c r="E35" s="1">
        <v>1</v>
      </c>
      <c r="G35" s="2">
        <f>4500</f>
        <v>4500</v>
      </c>
      <c r="H35">
        <f t="shared" si="5"/>
        <v>4500</v>
      </c>
      <c r="I35">
        <f t="shared" ref="I35:I48" si="38">G35</f>
        <v>4500</v>
      </c>
      <c r="J35">
        <f t="shared" si="35"/>
        <v>4500</v>
      </c>
      <c r="K35">
        <v>0</v>
      </c>
      <c r="L35">
        <v>0</v>
      </c>
      <c r="M35">
        <v>0</v>
      </c>
      <c r="N35">
        <f t="shared" si="26"/>
        <v>0</v>
      </c>
      <c r="O35">
        <f>I35</f>
        <v>4500</v>
      </c>
      <c r="P35">
        <f t="shared" si="36"/>
        <v>4500</v>
      </c>
      <c r="Q35" s="2">
        <f>O35</f>
        <v>4500</v>
      </c>
      <c r="R35" s="2">
        <f t="shared" si="37"/>
        <v>4500</v>
      </c>
    </row>
    <row r="36" ht="16.5" customHeight="1">
      <c r="A36" s="1">
        <v>12</v>
      </c>
      <c r="B36" t="s">
        <v>105</v>
      </c>
      <c r="C36" t="s">
        <v>106</v>
      </c>
      <c r="D36" s="25">
        <f>R14/1000+10+10</f>
        <v>37.899999999999999</v>
      </c>
      <c r="E36" s="1">
        <v>1</v>
      </c>
      <c r="F36" s="7">
        <v>38</v>
      </c>
      <c r="G36" s="19">
        <f>50+2</f>
        <v>52</v>
      </c>
      <c r="H36" s="16">
        <f t="shared" ref="H36:H40" si="39">G36*F36</f>
        <v>1976</v>
      </c>
      <c r="I36">
        <f t="shared" si="38"/>
        <v>52</v>
      </c>
      <c r="J36">
        <f t="shared" ref="J36:J40" si="40">I36*F36</f>
        <v>1976</v>
      </c>
      <c r="K36" t="s">
        <v>5</v>
      </c>
      <c r="L36">
        <f t="shared" si="31"/>
        <v>1976</v>
      </c>
      <c r="M36">
        <v>10000</v>
      </c>
      <c r="N36">
        <f t="shared" ref="N36:N40" si="41">L36</f>
        <v>1976</v>
      </c>
      <c r="O36">
        <f t="shared" ref="O36:O44" si="42">G36</f>
        <v>52</v>
      </c>
      <c r="P36">
        <f t="shared" ref="P36:P40" si="43">O36*F36</f>
        <v>1976</v>
      </c>
      <c r="Q36" s="2">
        <f t="shared" ref="Q36:Q40" si="44">G36</f>
        <v>52</v>
      </c>
      <c r="R36" s="2">
        <f t="shared" ref="R36:R40" si="45">Q36*F36</f>
        <v>1976</v>
      </c>
    </row>
    <row r="37" ht="16.5" customHeight="1">
      <c r="A37" s="1">
        <v>12</v>
      </c>
      <c r="B37" t="s">
        <v>105</v>
      </c>
      <c r="C37" t="s">
        <v>107</v>
      </c>
      <c r="D37" s="25">
        <f>(R14/1000)+G3*3+13</f>
        <v>42.899999999999999</v>
      </c>
      <c r="E37" s="1">
        <v>1</v>
      </c>
      <c r="F37" s="7">
        <v>43</v>
      </c>
      <c r="G37">
        <f>67+2</f>
        <v>69</v>
      </c>
      <c r="H37" s="16">
        <f t="shared" si="39"/>
        <v>2967</v>
      </c>
      <c r="I37">
        <f t="shared" si="38"/>
        <v>69</v>
      </c>
      <c r="J37">
        <f t="shared" si="40"/>
        <v>2967</v>
      </c>
      <c r="K37" t="s">
        <v>5</v>
      </c>
      <c r="L37">
        <f t="shared" si="31"/>
        <v>2967</v>
      </c>
      <c r="M37">
        <v>10000</v>
      </c>
      <c r="N37">
        <f t="shared" si="41"/>
        <v>2967</v>
      </c>
      <c r="O37">
        <f t="shared" si="42"/>
        <v>69</v>
      </c>
      <c r="P37">
        <f t="shared" si="43"/>
        <v>2967</v>
      </c>
      <c r="Q37" s="2">
        <f t="shared" si="44"/>
        <v>69</v>
      </c>
      <c r="R37" s="2">
        <f t="shared" si="45"/>
        <v>2967</v>
      </c>
    </row>
    <row r="38" ht="16.5" customHeight="1">
      <c r="A38" s="1">
        <v>12</v>
      </c>
      <c r="B38" t="s">
        <v>105</v>
      </c>
      <c r="C38" t="s">
        <v>108</v>
      </c>
      <c r="D38" s="25">
        <f>((R14/1000)+5)+G3*2+(R14/1000*8)</f>
        <v>174.09999999999999</v>
      </c>
      <c r="E38" s="1">
        <v>1</v>
      </c>
      <c r="F38" s="7">
        <v>175</v>
      </c>
      <c r="G38">
        <f>20+3</f>
        <v>23</v>
      </c>
      <c r="H38" s="16">
        <f t="shared" si="39"/>
        <v>4025</v>
      </c>
      <c r="I38">
        <f t="shared" si="38"/>
        <v>23</v>
      </c>
      <c r="J38" s="16">
        <f t="shared" si="40"/>
        <v>4025</v>
      </c>
      <c r="K38" t="s">
        <v>5</v>
      </c>
      <c r="L38" s="16">
        <f t="shared" si="31"/>
        <v>4025</v>
      </c>
      <c r="M38" s="16">
        <v>10000</v>
      </c>
      <c r="N38" s="16">
        <f t="shared" si="41"/>
        <v>4025</v>
      </c>
      <c r="O38">
        <f t="shared" si="42"/>
        <v>23</v>
      </c>
      <c r="P38" s="16">
        <f t="shared" si="43"/>
        <v>4025</v>
      </c>
      <c r="Q38" s="2">
        <f t="shared" si="44"/>
        <v>23</v>
      </c>
      <c r="R38" s="17">
        <f t="shared" si="45"/>
        <v>4025</v>
      </c>
    </row>
    <row r="39" ht="16.5" customHeight="1">
      <c r="A39" s="1">
        <v>12</v>
      </c>
      <c r="B39" t="s">
        <v>105</v>
      </c>
      <c r="C39" t="s">
        <v>109</v>
      </c>
      <c r="D39" s="25">
        <v>50</v>
      </c>
      <c r="E39" s="1">
        <v>1</v>
      </c>
      <c r="F39" s="7">
        <v>50</v>
      </c>
      <c r="G39">
        <f>35+2.2</f>
        <v>37.200000000000003</v>
      </c>
      <c r="H39" s="16">
        <f t="shared" si="39"/>
        <v>1860.0000000000002</v>
      </c>
      <c r="I39">
        <f t="shared" si="38"/>
        <v>37.200000000000003</v>
      </c>
      <c r="J39">
        <f t="shared" si="40"/>
        <v>1860.0000000000002</v>
      </c>
      <c r="K39" t="s">
        <v>5</v>
      </c>
      <c r="L39">
        <f t="shared" si="31"/>
        <v>1860.0000000000002</v>
      </c>
      <c r="M39">
        <v>10000</v>
      </c>
      <c r="N39">
        <f t="shared" si="41"/>
        <v>1860.0000000000002</v>
      </c>
      <c r="O39">
        <f t="shared" si="42"/>
        <v>37.200000000000003</v>
      </c>
      <c r="P39">
        <f t="shared" si="43"/>
        <v>1860.0000000000002</v>
      </c>
      <c r="Q39" s="2">
        <f t="shared" si="44"/>
        <v>37.200000000000003</v>
      </c>
      <c r="R39" s="2">
        <f t="shared" si="45"/>
        <v>1860.0000000000002</v>
      </c>
    </row>
    <row r="40" ht="16.5" customHeight="1">
      <c r="A40" s="1">
        <v>12</v>
      </c>
      <c r="B40" t="s">
        <v>105</v>
      </c>
      <c r="C40" t="s">
        <v>110</v>
      </c>
      <c r="D40" s="25">
        <v>50</v>
      </c>
      <c r="E40" s="1">
        <v>1</v>
      </c>
      <c r="F40" s="7">
        <v>50</v>
      </c>
      <c r="G40">
        <f>25+2</f>
        <v>27</v>
      </c>
      <c r="H40" s="16">
        <f t="shared" si="39"/>
        <v>1350</v>
      </c>
      <c r="I40">
        <f t="shared" si="38"/>
        <v>27</v>
      </c>
      <c r="J40">
        <f t="shared" si="40"/>
        <v>1350</v>
      </c>
      <c r="K40" t="s">
        <v>5</v>
      </c>
      <c r="L40">
        <f t="shared" si="31"/>
        <v>1350</v>
      </c>
      <c r="M40">
        <v>10000</v>
      </c>
      <c r="N40">
        <f t="shared" si="41"/>
        <v>1350</v>
      </c>
      <c r="O40">
        <f t="shared" si="42"/>
        <v>27</v>
      </c>
      <c r="P40">
        <f t="shared" si="43"/>
        <v>1350</v>
      </c>
      <c r="Q40" s="2">
        <f t="shared" si="44"/>
        <v>27</v>
      </c>
      <c r="R40" s="2">
        <f t="shared" si="45"/>
        <v>1350</v>
      </c>
    </row>
    <row r="41" s="12" customFormat="1">
      <c r="A41" s="13">
        <v>13</v>
      </c>
      <c r="B41" s="12" t="s">
        <v>111</v>
      </c>
      <c r="D41" s="12" t="s">
        <v>112</v>
      </c>
      <c r="E41" s="1">
        <v>1</v>
      </c>
      <c r="F41" s="13"/>
      <c r="G41" s="12">
        <v>43245</v>
      </c>
      <c r="H41" s="12">
        <f t="shared" si="5"/>
        <v>43245</v>
      </c>
      <c r="I41" s="12">
        <v>47840</v>
      </c>
      <c r="J41" s="12">
        <f t="shared" ref="J41:J42" si="46">E41*I41</f>
        <v>47840</v>
      </c>
      <c r="K41" s="12">
        <f>7000+1500</f>
        <v>8500</v>
      </c>
      <c r="L41" s="12">
        <f t="shared" si="25"/>
        <v>8500</v>
      </c>
      <c r="M41" s="12">
        <f>25000+1500</f>
        <v>26500</v>
      </c>
      <c r="N41" s="12">
        <f t="shared" si="26"/>
        <v>26500</v>
      </c>
      <c r="O41" s="12">
        <f t="shared" si="42"/>
        <v>43245</v>
      </c>
      <c r="P41" s="12">
        <f t="shared" ref="P41:P42" si="47">E41*O41</f>
        <v>43245</v>
      </c>
      <c r="Q41" s="21">
        <f t="shared" ref="Q41:Q42" si="48">I41</f>
        <v>47840</v>
      </c>
      <c r="R41" s="21">
        <f t="shared" ref="R41:R42" si="49">E41*Q41</f>
        <v>47840</v>
      </c>
      <c r="S41" s="12" t="s">
        <v>5</v>
      </c>
    </row>
    <row r="42" s="12" customFormat="1">
      <c r="A42" s="13">
        <v>14</v>
      </c>
      <c r="B42" s="12" t="s">
        <v>113</v>
      </c>
      <c r="D42" s="12" t="s">
        <v>112</v>
      </c>
      <c r="E42" s="13">
        <f>G3</f>
        <v>4</v>
      </c>
      <c r="F42" s="13"/>
      <c r="G42" s="12">
        <v>17880</v>
      </c>
      <c r="H42" s="12">
        <f t="shared" si="5"/>
        <v>71520</v>
      </c>
      <c r="I42" s="12">
        <v>26355</v>
      </c>
      <c r="J42" s="12">
        <f t="shared" si="46"/>
        <v>105420</v>
      </c>
      <c r="K42" s="12">
        <f>7000+3800+1500</f>
        <v>12300</v>
      </c>
      <c r="L42" s="12">
        <f t="shared" si="25"/>
        <v>49200</v>
      </c>
      <c r="M42" s="12">
        <f>35000+1500</f>
        <v>36500</v>
      </c>
      <c r="N42" s="12">
        <f t="shared" si="26"/>
        <v>146000</v>
      </c>
      <c r="O42" s="12">
        <f t="shared" si="42"/>
        <v>17880</v>
      </c>
      <c r="P42" s="12">
        <f t="shared" si="47"/>
        <v>71520</v>
      </c>
      <c r="Q42" s="21">
        <f t="shared" si="48"/>
        <v>26355</v>
      </c>
      <c r="R42" s="21">
        <f t="shared" si="49"/>
        <v>105420</v>
      </c>
      <c r="S42" s="12" t="s">
        <v>5</v>
      </c>
    </row>
    <row r="43">
      <c r="A43" s="1">
        <v>17</v>
      </c>
      <c r="B43" t="s">
        <v>114</v>
      </c>
      <c r="C43" s="12" t="s">
        <v>115</v>
      </c>
      <c r="E43" s="1">
        <v>1</v>
      </c>
      <c r="G43">
        <v>25000</v>
      </c>
      <c r="H43">
        <f t="shared" si="5"/>
        <v>25000</v>
      </c>
      <c r="I43">
        <f t="shared" si="38"/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42"/>
        <v>25000</v>
      </c>
      <c r="P43">
        <f>O43*E43</f>
        <v>25000</v>
      </c>
      <c r="Q43" s="2">
        <f>O43</f>
        <v>25000</v>
      </c>
      <c r="R43" s="2">
        <f>Q43*E43</f>
        <v>25000</v>
      </c>
      <c r="T43" t="s">
        <v>116</v>
      </c>
    </row>
    <row r="44">
      <c r="A44" s="1">
        <v>18</v>
      </c>
      <c r="B44" t="s">
        <v>117</v>
      </c>
      <c r="C44">
        <f>1500+1500+1000+1000</f>
        <v>5000</v>
      </c>
      <c r="D44" t="s">
        <v>118</v>
      </c>
      <c r="E44" s="1">
        <v>1</v>
      </c>
      <c r="G44">
        <f>5000</f>
        <v>5000</v>
      </c>
      <c r="H44">
        <f t="shared" si="5"/>
        <v>5000</v>
      </c>
      <c r="I44" s="12">
        <f t="shared" si="38"/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42"/>
        <v>5000</v>
      </c>
      <c r="P44">
        <f>E44*O44</f>
        <v>5000</v>
      </c>
      <c r="Q44" s="2">
        <f>G44</f>
        <v>5000</v>
      </c>
      <c r="R44" s="2">
        <f>E44*Q44</f>
        <v>5000</v>
      </c>
    </row>
    <row r="45">
      <c r="A45" s="1"/>
      <c r="B45" t="s">
        <v>119</v>
      </c>
      <c r="D45">
        <f>2000+1000+2000</f>
        <v>5000</v>
      </c>
      <c r="E45" s="1">
        <v>1</v>
      </c>
      <c r="G45">
        <v>5000</v>
      </c>
      <c r="H45">
        <f t="shared" si="5"/>
        <v>5000</v>
      </c>
      <c r="I45" s="12">
        <f t="shared" si="38"/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2">
        <f>O45</f>
        <v>5000</v>
      </c>
      <c r="R45" s="2">
        <f>Q45*E45</f>
        <v>5000</v>
      </c>
    </row>
    <row r="46">
      <c r="A46" s="1">
        <v>19</v>
      </c>
      <c r="B46" t="s">
        <v>120</v>
      </c>
      <c r="E46" s="1">
        <v>1</v>
      </c>
      <c r="G46">
        <v>7500</v>
      </c>
      <c r="H46">
        <f t="shared" si="5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2">
        <v>7500</v>
      </c>
      <c r="R46" s="2">
        <f>E46*Q46</f>
        <v>7500</v>
      </c>
    </row>
    <row r="47">
      <c r="A47" s="1"/>
      <c r="D47" t="s">
        <v>121</v>
      </c>
      <c r="H47" s="16">
        <f>SUM(H16:H46)</f>
        <v>489994</v>
      </c>
      <c r="J47" s="16">
        <f>SUM(J16:J46)</f>
        <v>558489</v>
      </c>
      <c r="L47" s="16">
        <f>SUM(L16:L46)</f>
        <v>428429</v>
      </c>
      <c r="N47" s="16">
        <f>SUM(N16:N46)</f>
        <v>573229</v>
      </c>
      <c r="P47" s="16">
        <f>SUM(P16:P46)</f>
        <v>553390.30000000005</v>
      </c>
      <c r="R47" s="17">
        <f>SUM(R16:R46)</f>
        <v>621885.30000000005</v>
      </c>
    </row>
    <row r="48">
      <c r="A48" s="1">
        <v>20</v>
      </c>
      <c r="B48" t="s">
        <v>122</v>
      </c>
      <c r="D48" t="s">
        <v>123</v>
      </c>
      <c r="E48" s="1">
        <f>G3</f>
        <v>4</v>
      </c>
      <c r="G48" s="2">
        <v>12000</v>
      </c>
      <c r="H48">
        <f t="shared" ref="H48:H50" si="50">G48*E48</f>
        <v>48000</v>
      </c>
      <c r="I48" s="12">
        <f t="shared" si="38"/>
        <v>12000</v>
      </c>
      <c r="J48">
        <f t="shared" ref="J48:J50" si="51">E48*I48</f>
        <v>48000</v>
      </c>
      <c r="K48">
        <f t="shared" ref="K48:K49" si="52">I48</f>
        <v>12000</v>
      </c>
      <c r="L48">
        <f t="shared" ref="L48:L50" si="53">K48*E48</f>
        <v>48000</v>
      </c>
      <c r="M48">
        <f>K48</f>
        <v>12000</v>
      </c>
      <c r="N48">
        <f t="shared" ref="N48:N50" si="54">E48*M48</f>
        <v>48000</v>
      </c>
      <c r="O48">
        <f>I48</f>
        <v>12000</v>
      </c>
      <c r="P48">
        <f t="shared" ref="P48:P50" si="55">E48*O48</f>
        <v>48000</v>
      </c>
      <c r="Q48" s="2">
        <f>O48</f>
        <v>12000</v>
      </c>
      <c r="R48" s="2">
        <f t="shared" ref="R48:R50" si="56">E48*Q48</f>
        <v>48000</v>
      </c>
    </row>
    <row r="49">
      <c r="A49" s="1">
        <v>21</v>
      </c>
      <c r="B49" t="s">
        <v>124</v>
      </c>
      <c r="E49" s="1">
        <v>1</v>
      </c>
      <c r="G49">
        <v>12000</v>
      </c>
      <c r="H49">
        <f t="shared" si="50"/>
        <v>12000</v>
      </c>
      <c r="I49">
        <f>H49</f>
        <v>12000</v>
      </c>
      <c r="J49">
        <f t="shared" si="51"/>
        <v>12000</v>
      </c>
      <c r="K49">
        <f t="shared" si="52"/>
        <v>12000</v>
      </c>
      <c r="L49">
        <f t="shared" si="53"/>
        <v>12000</v>
      </c>
      <c r="M49">
        <f>L49</f>
        <v>12000</v>
      </c>
      <c r="N49">
        <f t="shared" si="54"/>
        <v>12000</v>
      </c>
      <c r="O49">
        <f>N49</f>
        <v>12000</v>
      </c>
      <c r="P49">
        <f t="shared" si="55"/>
        <v>12000</v>
      </c>
      <c r="Q49" s="2">
        <f>P49</f>
        <v>12000</v>
      </c>
      <c r="R49" s="2">
        <f t="shared" si="56"/>
        <v>12000</v>
      </c>
    </row>
    <row r="50">
      <c r="A50" s="1">
        <v>22</v>
      </c>
      <c r="B50" t="s">
        <v>125</v>
      </c>
      <c r="E50" s="1">
        <v>1</v>
      </c>
      <c r="G50" s="16">
        <f>H47*5%</f>
        <v>24499.700000000001</v>
      </c>
      <c r="H50" s="16">
        <f t="shared" si="50"/>
        <v>24499.700000000001</v>
      </c>
      <c r="I50" s="16">
        <f>J47*5%</f>
        <v>27924.450000000001</v>
      </c>
      <c r="J50" s="16">
        <f t="shared" si="51"/>
        <v>27924.450000000001</v>
      </c>
      <c r="K50" s="16">
        <f>L47*5%</f>
        <v>21421.450000000001</v>
      </c>
      <c r="L50" s="16">
        <f t="shared" si="53"/>
        <v>21421.450000000001</v>
      </c>
      <c r="M50" s="16">
        <f>N47*5%</f>
        <v>28661.450000000001</v>
      </c>
      <c r="N50" s="16">
        <f t="shared" si="54"/>
        <v>28661.450000000001</v>
      </c>
      <c r="O50" s="16">
        <f>P47*5%</f>
        <v>27669.515000000003</v>
      </c>
      <c r="P50" s="16">
        <f t="shared" si="55"/>
        <v>27669.515000000003</v>
      </c>
      <c r="Q50" s="17">
        <f>R47*5%</f>
        <v>31094.265000000003</v>
      </c>
      <c r="R50" s="17">
        <f t="shared" si="56"/>
        <v>31094.265000000003</v>
      </c>
    </row>
    <row r="51">
      <c r="D51" t="s">
        <v>121</v>
      </c>
      <c r="H51" s="16">
        <f>H47+H48+H49+H50</f>
        <v>574493.69999999995</v>
      </c>
      <c r="J51" s="16">
        <f>J47+J48+J49+J50</f>
        <v>646413.44999999995</v>
      </c>
      <c r="L51" s="16">
        <f>L47+L48+L49+L50</f>
        <v>509850.45000000001</v>
      </c>
      <c r="N51" s="16">
        <f>N47+N48+N49+N50</f>
        <v>661890.44999999995</v>
      </c>
      <c r="P51" s="16">
        <f>P47+P48+P49+P50</f>
        <v>641059.81500000006</v>
      </c>
      <c r="R51" s="17">
        <f>R47+R48+R49+R50</f>
        <v>712979.56500000006</v>
      </c>
    </row>
    <row r="52">
      <c r="B52" t="s">
        <v>126</v>
      </c>
      <c r="H52" s="16">
        <v>120000</v>
      </c>
      <c r="J52" s="16">
        <v>120000</v>
      </c>
      <c r="L52" s="16">
        <v>120000</v>
      </c>
      <c r="N52" s="16">
        <v>120000</v>
      </c>
      <c r="P52" s="16">
        <v>120000</v>
      </c>
      <c r="R52" s="17">
        <v>120000</v>
      </c>
    </row>
    <row r="53">
      <c r="B53" t="s">
        <v>127</v>
      </c>
      <c r="H53" s="16">
        <f>H52+H51</f>
        <v>694493.69999999995</v>
      </c>
      <c r="J53" s="16">
        <f>J52+J51</f>
        <v>766413.44999999995</v>
      </c>
      <c r="L53" s="16">
        <f>L52+L51</f>
        <v>629850.44999999995</v>
      </c>
      <c r="N53" s="16">
        <f>N52+N51</f>
        <v>781890.44999999995</v>
      </c>
      <c r="P53" s="16">
        <f>P52+P51</f>
        <v>761059.81500000006</v>
      </c>
      <c r="R53" s="17">
        <f>R52+R51</f>
        <v>832979.56500000006</v>
      </c>
    </row>
    <row r="54">
      <c r="B54" t="s">
        <v>128</v>
      </c>
      <c r="J54" t="s">
        <v>5</v>
      </c>
      <c r="K54" t="s">
        <v>5</v>
      </c>
      <c r="R54" s="2" t="s">
        <v>5</v>
      </c>
    </row>
  </sheetData>
  <mergeCells count="11">
    <mergeCell ref="K14:L14"/>
    <mergeCell ref="M14:N14"/>
    <mergeCell ref="G15:H15"/>
    <mergeCell ref="I15:J15"/>
    <mergeCell ref="K15:L15"/>
    <mergeCell ref="M15:N15"/>
    <mergeCell ref="O15:P15"/>
    <mergeCell ref="Q15:R15"/>
    <mergeCell ref="W15:X15"/>
    <mergeCell ref="T23:X23"/>
    <mergeCell ref="T24:X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6DC4E782-3000-4B7D-A978-109A4D72680D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C9784886-270B-40CE-9E9D-30F38D08045C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2015-06-05T18:17:20Z</dcterms:created>
  <dcterms:modified xsi:type="dcterms:W3CDTF">2026-07-16T18:39:04Z</dcterms:modified>
</cp:coreProperties>
</file>